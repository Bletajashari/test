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rod Pod" sheetId="2" state="visible" r:id="rId4"/>
    <sheet name="Other FINRA" sheetId="3" state="visible" r:id="rId5"/>
    <sheet name="For Review" sheetId="4" state="visible" r:id="rId6"/>
  </sheets>
  <definedNames>
    <definedName function="false" hidden="false" localSheetId="3" name="_xlnm.Print_Titles" vbProcedure="false">'For Review'!$4:$4</definedName>
    <definedName function="false" hidden="true" localSheetId="3" name="_xlnm._FilterDatabase" vbProcedure="false">'For Review'!$A$4:$G$7</definedName>
    <definedName function="false" hidden="false" localSheetId="2" name="_xlnm.Print_Titles" vbProcedure="false">'Other FINRA'!$4:$4</definedName>
    <definedName function="false" hidden="true" localSheetId="2" name="_xlnm._FilterDatabase" vbProcedure="false">'Other FINRA'!$A$4:$G$12</definedName>
    <definedName function="false" hidden="false" localSheetId="1" name="_xlnm.Print_Titles" vbProcedure="false">'Prod Pod'!$4:$4</definedName>
    <definedName function="false" hidden="true" localSheetId="1" name="_xlnm._FilterDatabase" vbProcedure="false">'Prod Pod'!$A$4:$G$12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<sst xmlns="http://schemas.openxmlformats.org/spreadsheetml/2006/main" count="184" uniqueCount="104">
  <si>
    <t xml:space="preserve">FINRA — Completed Tickets Report</t>
  </si>
  <si>
    <t xml:space="preserve">Jira (megatron) · 14 Aug 2026 – 14 Oct 2026 · Done, Ready for Test, Needs Client Test, Ready for Promotion, Testing</t>
  </si>
  <si>
    <t xml:space="preserve">Total completed tickets</t>
  </si>
  <si>
    <t xml:space="preserve">Done</t>
  </si>
  <si>
    <t xml:space="preserve">In test / promotion</t>
  </si>
  <si>
    <t xml:space="preserve">Prod Pod</t>
  </si>
  <si>
    <t xml:space="preserve">Status</t>
  </si>
  <si>
    <t xml:space="preserve">Other FINRA</t>
  </si>
  <si>
    <t xml:space="preserve">Total</t>
  </si>
  <si>
    <t xml:space="preserve">Assignee</t>
  </si>
  <si>
    <t xml:space="preserve">Tickets</t>
  </si>
  <si>
    <t xml:space="preserve">Team</t>
  </si>
  <si>
    <t xml:space="preserve">Shibi Ramaiyan</t>
  </si>
  <si>
    <t xml:space="preserve">Ready for Promotion</t>
  </si>
  <si>
    <t xml:space="preserve">Yetunde Sanusi</t>
  </si>
  <si>
    <t xml:space="preserve">Needs Client Test</t>
  </si>
  <si>
    <t xml:space="preserve">Chetan Pradhan</t>
  </si>
  <si>
    <t xml:space="preserve">Other</t>
  </si>
  <si>
    <t xml:space="preserve">Ready for Test</t>
  </si>
  <si>
    <t xml:space="preserve">Daniel Richards</t>
  </si>
  <si>
    <t xml:space="preserve">Testing</t>
  </si>
  <si>
    <t xml:space="preserve">Timothy Chiang</t>
  </si>
  <si>
    <t xml:space="preserve">Unassigned</t>
  </si>
  <si>
    <t xml:space="preserve">How tickets were selected</t>
  </si>
  <si>
    <t xml:space="preserve">• Client field = FINRA, or “FINRA” in the title; titles, descriptions and comments were all searched.</t>
  </si>
  <si>
    <t xml:space="preserve">• Current status is Done, Ready for Test, Needs Client Test, Ready for Promotion or Testing, and the status changed on or after 14 Aug 2026.</t>
  </si>
  <si>
    <t xml:space="preserve">• Prod Pod = tickets assigned to Shibi Ramaiyan or Yetunde Sanusi.</t>
  </si>
  <si>
    <t xml:space="preserve">• MEG-33917 is borderline (likely a Block client ticket that references FINRA projects); excluding it gives 15.</t>
  </si>
  <si>
    <t xml:space="preserve">• The ‘For Review’ tab lists 3 tickets not counted: 2 multi-client tickets that include FINRA, and 1 FINRA ticket that was reopened.</t>
  </si>
  <si>
    <t xml:space="preserve">• Last Updated is the ticket's last-updated date in Jira. Totals are live formulas over the Prod Pod and Other FINRA tabs.</t>
  </si>
  <si>
    <t xml:space="preserve">Prod Pod — FINRA Completed Tickets</t>
  </si>
  <si>
    <t xml:space="preserve">Assignee: Shibi Ramaiyan or Yetunde Sanusi · 14 Aug – 14 Oct 2026</t>
  </si>
  <si>
    <t xml:space="preserve">Ticket</t>
  </si>
  <si>
    <t xml:space="preserve">Summary</t>
  </si>
  <si>
    <t xml:space="preserve">Reporter</t>
  </si>
  <si>
    <t xml:space="preserve">Last Updated</t>
  </si>
  <si>
    <t xml:space="preserve">Notes</t>
  </si>
  <si>
    <t xml:space="preserve">CR-1274</t>
  </si>
  <si>
    <t xml:space="preserve">FINRA: Supplier Enhancements</t>
  </si>
  <si>
    <t xml:space="preserve">Darci Frye</t>
  </si>
  <si>
    <t xml:space="preserve">2026-10-07</t>
  </si>
  <si>
    <t xml:space="preserve">CR-1310</t>
  </si>
  <si>
    <t xml:space="preserve">FINRA DR Test Attestation Request – Calendar Year 2026</t>
  </si>
  <si>
    <t xml:space="preserve">Neha Sachdeva</t>
  </si>
  <si>
    <t xml:space="preserve">2026-08-19</t>
  </si>
  <si>
    <t xml:space="preserve">IP-2790</t>
  </si>
  <si>
    <t xml:space="preserve">FINRA: Unable to process “Cancelled Before Start” on FINRA assignments – system requires Workday-originated action</t>
  </si>
  <si>
    <t xml:space="preserve">IP-2991</t>
  </si>
  <si>
    <t xml:space="preserve">FINRA: Ryan Waite – No Onboarding Activities Generated</t>
  </si>
  <si>
    <t xml:space="preserve">2026-08-17</t>
  </si>
  <si>
    <t xml:space="preserve">IP-3086</t>
  </si>
  <si>
    <t xml:space="preserve">FINRA: Organizational Dashboard Not Displaying Requisition Assignments for Certain Leaders</t>
  </si>
  <si>
    <t xml:space="preserve">2026-09-09</t>
  </si>
  <si>
    <t xml:space="preserve">IP-3005</t>
  </si>
  <si>
    <t xml:space="preserve">FINRA: Workday Supplier Contract Amendment Callout Failing Due to Apostrophe Encoding in SOAP XML Payload</t>
  </si>
  <si>
    <t xml:space="preserve">CR-1072</t>
  </si>
  <si>
    <t xml:space="preserve">FINRA: CR-01 Minor Enhancements</t>
  </si>
  <si>
    <t xml:space="preserve">2026-09-21</t>
  </si>
  <si>
    <t xml:space="preserve">CR-1252</t>
  </si>
  <si>
    <t xml:space="preserve">FINRA: Enable Approval via Email for Expenses, Assignment Changes, and Cases</t>
  </si>
  <si>
    <t xml:space="preserve">2026-10-05</t>
  </si>
  <si>
    <t xml:space="preserve">Other FINRA Completed Tickets</t>
  </si>
  <si>
    <t xml:space="preserve">All remaining FINRA tickets, including unassigned · 14 Aug – 14 Oct 2026</t>
  </si>
  <si>
    <t xml:space="preserve">CBT-146</t>
  </si>
  <si>
    <t xml:space="preserve">FINRA: ETL test sandbox, integration user and test data</t>
  </si>
  <si>
    <t xml:space="preserve">mohsinb</t>
  </si>
  <si>
    <t xml:space="preserve">2026-10-06</t>
  </si>
  <si>
    <t xml:space="preserve">CR-1428</t>
  </si>
  <si>
    <t xml:space="preserve">FINRA: Investigate Workday Allocation Resend Errors and Worker/Contract ID Mismatches</t>
  </si>
  <si>
    <t xml:space="preserve">2026-10-02</t>
  </si>
  <si>
    <t xml:space="preserve">IP-3125</t>
  </si>
  <si>
    <t xml:space="preserve">FINRA: Rehire Process Issues &amp; Current Rehire Remediation</t>
  </si>
  <si>
    <t xml:space="preserve">IP-3152</t>
  </si>
  <si>
    <t xml:space="preserve">FINRA: Re-Hire Issue – Incorrect Applicant ID Created Wrong Contingent Worker Profile</t>
  </si>
  <si>
    <t xml:space="preserve">2026-09-18</t>
  </si>
  <si>
    <t xml:space="preserve">IP-3167</t>
  </si>
  <si>
    <t xml:space="preserve">FINRA: Re-Hire Process Failed Due to Incorrect Applicant/Workday ID</t>
  </si>
  <si>
    <t xml:space="preserve">2026-09-25</t>
  </si>
  <si>
    <t xml:space="preserve">IP-3180</t>
  </si>
  <si>
    <t xml:space="preserve">FINRA: Manager Portal Displaying Other Managers' Pending Approvals</t>
  </si>
  <si>
    <t xml:space="preserve">2026-10-08</t>
  </si>
  <si>
    <t xml:space="preserve">MEG-33917</t>
  </si>
  <si>
    <t xml:space="preserve">Block – Add mandatory “Will this job support Finra projects?” Yes/No field to Magnit section</t>
  </si>
  <si>
    <t xml:space="preserve">Sarah Greenwood</t>
  </si>
  <si>
    <t xml:space="preserve">Likely a Block client ticket that references FINRA projects</t>
  </si>
  <si>
    <t xml:space="preserve">IP-3190</t>
  </si>
  <si>
    <t xml:space="preserve">Managers can see timesheets pending approval for other managers – related to IP-3180</t>
  </si>
  <si>
    <t xml:space="preserve">Client field = FINRA</t>
  </si>
  <si>
    <t xml:space="preserve">For Review — Not Counted in Totals</t>
  </si>
  <si>
    <t xml:space="preserve">Partially FINRA or reopened; decide whether to include</t>
  </si>
  <si>
    <t xml:space="preserve">CBT-138</t>
  </si>
  <si>
    <t xml:space="preserve">Knowledge sharing for the evaluation: scenario documentation, v1.28 rules session, Talend inventory</t>
  </si>
  <si>
    <t xml:space="preserve">2026-10-13</t>
  </si>
  <si>
    <t xml:space="preserve">Multi-client: covers FINRA 400 scenario documentation alongside Anaplan and Rogers</t>
  </si>
  <si>
    <t xml:space="preserve">IR-955</t>
  </si>
  <si>
    <t xml:space="preserve">UAT Sites Down</t>
  </si>
  <si>
    <t xml:space="preserve">Pavan Vemunuri</t>
  </si>
  <si>
    <t xml:space="preserve">2026-09-28</t>
  </si>
  <si>
    <t xml:space="preserve">Multi-client: FINRA is one of 6 impacted UAT sites (with Anaplan, Deloitte, FanDuel, KPMG, PwC)</t>
  </si>
  <si>
    <t xml:space="preserve">IP-2856</t>
  </si>
  <si>
    <t xml:space="preserve">FINRA: Financial Approver Visibility</t>
  </si>
  <si>
    <t xml:space="preserve">To Do</t>
  </si>
  <si>
    <t xml:space="preserve">—</t>
  </si>
  <si>
    <t xml:space="preserve">Reached a completed status in the period, then reopened; not currently complete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</si>
</sst>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DCE6F7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22"/>
      <color rgb="FF14213D"/>
      <name val="Arial"/>
      <family val="0"/>
      <charset val="1"/>
    </font>
    <font>
      <b val="true"/>
      <sz val="22"/>
      <color rgb="FF16A34A"/>
      <name val="Arial"/>
      <family val="0"/>
      <charset val="1"/>
    </font>
    <font>
      <b val="true"/>
      <sz val="22"/>
      <color rgb="FFD97706"/>
      <name val="Arial"/>
      <family val="0"/>
      <charset val="1"/>
    </font>
    <font>
      <b val="true"/>
      <sz val="22"/>
      <color rgb="FF0F766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F766E"/>
      <name val="Arial"/>
      <family val="0"/>
      <charset val="1"/>
    </font>
    <font>
      <b val="true"/>
      <sz val="10"/>
      <color rgb="FF5B21B6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0"/>
      <color rgb="FF155E75"/>
      <name val="Arial"/>
      <family val="0"/>
      <charset val="1"/>
    </font>
    <font>
      <b val="true"/>
      <sz val="10"/>
      <color rgb="FF9D174D"/>
      <name val="Arial"/>
      <family val="0"/>
      <charset val="1"/>
    </font>
    <font>
      <b val="true"/>
      <sz val="10"/>
      <color rgb="FF14213D"/>
      <name val="Arial"/>
      <family val="0"/>
      <charset val="1"/>
    </font>
    <font>
      <sz val="9"/>
      <color rgb="FF47556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u val="single"/>
      <sz val="10"/>
      <color rgb="FF2B59C3"/>
      <name val="Arial"/>
      <family val="0"/>
      <charset val="1"/>
    </font>
    <font>
      <i val="true"/>
      <sz val="10"/>
      <color rgb="FF94A3B8"/>
      <name val="Arial"/>
      <family val="0"/>
      <charset val="1"/>
    </font>
    <font>
      <i val="true"/>
      <sz val="10"/>
      <color rgb="FFB45309"/>
      <name val="Arial"/>
      <family val="0"/>
      <charset val="1"/>
    </font>
    <font>
      <b val="true"/>
      <sz val="10"/>
      <color rgb="FF47556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1F5F9"/>
        <bgColor rgb="FFF8FAFC"/>
      </patternFill>
    </fill>
    <fill>
      <patternFill patternType="solid">
        <fgColor rgb="FFDCFCE7"/>
        <bgColor rgb="FFCFFAFE"/>
      </patternFill>
    </fill>
    <fill>
      <patternFill patternType="solid">
        <fgColor rgb="FFEDE9FE"/>
        <bgColor rgb="FFE5E9F0"/>
      </patternFill>
    </fill>
    <fill>
      <patternFill patternType="solid">
        <fgColor rgb="FFFEF3C7"/>
        <bgColor rgb="FFFCE7F3"/>
      </patternFill>
    </fill>
    <fill>
      <patternFill patternType="solid">
        <fgColor rgb="FFCFFAFE"/>
        <bgColor rgb="FFDCFCE7"/>
      </patternFill>
    </fill>
    <fill>
      <patternFill patternType="solid">
        <fgColor rgb="FFFCE7F3"/>
        <bgColor rgb="FFEDE9FE"/>
      </patternFill>
    </fill>
    <fill>
      <patternFill patternType="solid">
        <fgColor rgb="FF0F766E"/>
        <bgColor rgb="FF155E75"/>
      </patternFill>
    </fill>
    <fill>
      <patternFill patternType="solid">
        <fgColor rgb="FFF8FAFC"/>
        <bgColor rgb="FFFFFFFF"/>
      </patternFill>
    </fill>
    <fill>
      <patternFill patternType="solid">
        <fgColor rgb="FF2B59C3"/>
        <bgColor rgb="FF0066CC"/>
      </patternFill>
    </fill>
    <fill>
      <patternFill patternType="solid">
        <fgColor rgb="FF64748B"/>
        <bgColor rgb="FF87878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5E9F0"/>
      </bottom>
      <diagonal/>
    </border>
    <border diagonalUp="false" diagonalDown="false">
      <left/>
      <right/>
      <top style="medium">
        <color rgb="FF14213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9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7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11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8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1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4213D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B59C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FF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55E75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5B21B6"/>
          <bgColor rgb="FF000000"/>
        </patternFill>
      </fill>
    </dxf>
    <dxf>
      <fill>
        <patternFill patternType="solid">
          <fgColor rgb="FF94A3B8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47556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F766E"/>
      <rgbColor rgb="FFDCE6F7"/>
      <rgbColor rgb="FF878787"/>
      <rgbColor rgb="FF9999FF"/>
      <rgbColor rgb="FF9D174D"/>
      <rgbColor rgb="FFFEF3C7"/>
      <rgbColor rgb="FFCFFAF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5E75"/>
      <rgbColor rgb="FF0000FF"/>
      <rgbColor rgb="FF00CCFF"/>
      <rgbColor rgb="FFDCFCE7"/>
      <rgbColor rgb="FFE5E9F0"/>
      <rgbColor rgb="FFF8FAFC"/>
      <rgbColor rgb="FFEDE9FE"/>
      <rgbColor rgb="FFF1F5F9"/>
      <rgbColor rgb="FFCC99FF"/>
      <rgbColor rgb="FFFCE7F3"/>
      <rgbColor rgb="FF2B59C3"/>
      <rgbColor rgb="FF33CCCC"/>
      <rgbColor rgb="FF99CC00"/>
      <rgbColor rgb="FFFFCC00"/>
      <rgbColor rgb="FFFF9900"/>
      <rgbColor rgb="FFD97706"/>
      <rgbColor rgb="FF64748B"/>
      <rgbColor rgb="FF94A3B8"/>
      <rgbColor rgb="FF003366"/>
      <rgbColor rgb="FF16A34A"/>
      <rgbColor rgb="FF003300"/>
      <rgbColor rgb="FF475569"/>
      <rgbColor rgb="FF92400E"/>
      <rgbColor rgb="FFB45309"/>
      <rgbColor rgb="FF5B21B6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Summary!B8</c:f>
              <c:strCache>
                <c:ptCount val="1"/>
                <c:pt idx="0">
                  <c:v>Prod Pod</c:v>
                </c:pt>
              </c:strCache>
            </c:strRef>
          </c:tx>
          <c:spPr>
            <a:solidFill>
              <a:srgbClr val="0f766e"/>
            </a:solidFill>
            <a:ln w="9360">
              <a:solidFill>
                <a:srgbClr val="0f766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Summary!$A$9:$A$13</c:f>
              <c:strCache>
                <c:ptCount val="5"/>
                <c:pt idx="0">
                  <c:v>Done</c:v>
                </c:pt>
                <c:pt idx="1">
                  <c:v>Ready for Promotion</c:v>
                </c:pt>
                <c:pt idx="2">
                  <c:v>Needs Client Test</c:v>
                </c:pt>
                <c:pt idx="3">
                  <c:v>Ready for Test</c:v>
                </c:pt>
                <c:pt idx="4">
                  <c:v>Testing</c:v>
                </c:pt>
              </c:strCache>
            </c:strRef>
          </c:cat>
          <c:val>
            <c:numRef>
              <c:f>Summary!$B$9:$B$13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Summary!C8</c:f>
              <c:strCache>
                <c:ptCount val="1"/>
                <c:pt idx="0">
                  <c:v>Other FINRA</c:v>
                </c:pt>
              </c:strCache>
            </c:strRef>
          </c:tx>
          <c:spPr>
            <a:solidFill>
              <a:srgbClr val="2b59c3"/>
            </a:solidFill>
            <a:ln w="9360">
              <a:solidFill>
                <a:srgbClr val="2b59c3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Summary!$A$9:$A$13</c:f>
              <c:strCache>
                <c:ptCount val="5"/>
                <c:pt idx="0">
                  <c:v>Done</c:v>
                </c:pt>
                <c:pt idx="1">
                  <c:v>Ready for Promotion</c:v>
                </c:pt>
                <c:pt idx="2">
                  <c:v>Needs Client Test</c:v>
                </c:pt>
                <c:pt idx="3">
                  <c:v>Ready for Test</c:v>
                </c:pt>
                <c:pt idx="4">
                  <c:v>Testing</c:v>
                </c:pt>
              </c:strCache>
            </c:strRef>
          </c:cat>
          <c:val>
            <c:numRef>
              <c:f>Summary!$C$9:$C$13</c:f>
              <c:numCache>
                <c:formatCode>General</c:formatCode>
                <c:ptCount val="5"/>
                <c:pt idx="0">
                  <c:v>7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100"/>
        <c:axId val="9975722"/>
        <c:axId val="61007678"/>
      </c:barChart>
      <c:catAx>
        <c:axId val="997572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07678"/>
        <c:crosses val="autoZero"/>
        <c:auto val="1"/>
        <c:lblAlgn val="ctr"/>
        <c:lblOffset val="100"/>
        <c:noMultiLvlLbl val="0"/>
      </c:catAx>
      <c:valAx>
        <c:axId val="61007678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757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5</xdr:col>
      <xdr:colOff>1115280</xdr:colOff>
      <xdr:row>29</xdr:row>
      <xdr:rowOff>32760</xdr:rowOff>
    </xdr:to>
    <xdr:graphicFrame>
      <xdr:nvGraphicFramePr>
        <xdr:cNvPr id="0" name="Chart 1"/>
        <xdr:cNvGraphicFramePr/>
      </xdr:nvGraphicFramePr>
      <xdr:xfrm>
        <a:off x="0" y="332424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megatron.atlassian.net/browse/CR-1274" TargetMode="External"/><Relationship Id="rId2" Type="http://schemas.openxmlformats.org/officeDocument/2006/relationships/hyperlink" Target="https://megatron.atlassian.net/browse/CR-1310" TargetMode="External"/><Relationship Id="rId3" Type="http://schemas.openxmlformats.org/officeDocument/2006/relationships/hyperlink" Target="https://megatron.atlassian.net/browse/IP-2790" TargetMode="External"/><Relationship Id="rId4" Type="http://schemas.openxmlformats.org/officeDocument/2006/relationships/hyperlink" Target="https://megatron.atlassian.net/browse/IP-2991" TargetMode="External"/><Relationship Id="rId5" Type="http://schemas.openxmlformats.org/officeDocument/2006/relationships/hyperlink" Target="https://megatron.atlassian.net/browse/IP-3086" TargetMode="External"/><Relationship Id="rId6" Type="http://schemas.openxmlformats.org/officeDocument/2006/relationships/hyperlink" Target="https://megatron.atlassian.net/browse/IP-3005" TargetMode="External"/><Relationship Id="rId7" Type="http://schemas.openxmlformats.org/officeDocument/2006/relationships/hyperlink" Target="https://megatron.atlassian.net/browse/CR-1072" TargetMode="External"/><Relationship Id="rId8" Type="http://schemas.openxmlformats.org/officeDocument/2006/relationships/hyperlink" Target="https://megatron.atlassian.net/browse/CR-1252" TargetMode="External"/><Relationship Id="rId9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megatron.atlassian.net/browse/CBT-146" TargetMode="External"/><Relationship Id="rId2" Type="http://schemas.openxmlformats.org/officeDocument/2006/relationships/hyperlink" Target="https://megatron.atlassian.net/browse/CR-1428" TargetMode="External"/><Relationship Id="rId3" Type="http://schemas.openxmlformats.org/officeDocument/2006/relationships/hyperlink" Target="https://megatron.atlassian.net/browse/IP-3125" TargetMode="External"/><Relationship Id="rId4" Type="http://schemas.openxmlformats.org/officeDocument/2006/relationships/hyperlink" Target="https://megatron.atlassian.net/browse/IP-3152" TargetMode="External"/><Relationship Id="rId5" Type="http://schemas.openxmlformats.org/officeDocument/2006/relationships/hyperlink" Target="https://megatron.atlassian.net/browse/IP-3167" TargetMode="External"/><Relationship Id="rId6" Type="http://schemas.openxmlformats.org/officeDocument/2006/relationships/hyperlink" Target="https://megatron.atlassian.net/browse/IP-3180" TargetMode="External"/><Relationship Id="rId7" Type="http://schemas.openxmlformats.org/officeDocument/2006/relationships/hyperlink" Target="https://megatron.atlassian.net/browse/MEG-33917" TargetMode="External"/><Relationship Id="rId8" Type="http://schemas.openxmlformats.org/officeDocument/2006/relationships/hyperlink" Target="https://megatron.atlassian.net/browse/IP-3190" TargetMode="External"/><Relationship Id="rId9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megatron.atlassian.net/browse/CBT-138" TargetMode="External"/><Relationship Id="rId2" Type="http://schemas.openxmlformats.org/officeDocument/2006/relationships/hyperlink" Target="https://megatron.atlassian.net/browse/IR-955" TargetMode="External"/><Relationship Id="rId3" Type="http://schemas.openxmlformats.org/officeDocument/2006/relationships/hyperlink" Target="https://megatron.atlassian.net/browse/IP-2856" TargetMode="External"/><Relationship Id="rId4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  <col collapsed="false" customWidth="true" hidden="false" outlineLevel="0" max="5" min="5" style="0" width="3"/>
    <col collapsed="false" customWidth="true" hidden="false" outlineLevel="0" max="6" min="6" style="0" width="26"/>
    <col collapsed="false" customWidth="true" hidden="false" outlineLevel="0" max="8" min="7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3.75" hidden="false" customHeight="true" outlineLevel="0" collapsed="false">
      <c r="A5" s="4" t="n">
        <f aca="false">COUNTA('Prod Pod'!$C$5:$C$12)+COUNTA('Other FINRA'!$C$5:$C$12)</f>
        <v>16</v>
      </c>
      <c r="B5" s="5" t="n">
        <f aca="false">COUNTIF('Prod Pod'!$C$5:$C$12,"Done")+COUNTIF('Other FINRA'!$C$5:$C$12,"Done")</f>
        <v>12</v>
      </c>
      <c r="C5" s="6" t="n">
        <f aca="false">A5-B5</f>
        <v>4</v>
      </c>
      <c r="D5" s="7" t="n">
        <f aca="false">COUNTA('Prod Pod'!$C$5:$C$12)</f>
        <v>8</v>
      </c>
    </row>
    <row r="8" customFormat="false" ht="15" hidden="false" customHeight="false" outlineLevel="0" collapsed="false">
      <c r="A8" s="8" t="s">
        <v>6</v>
      </c>
      <c r="B8" s="9" t="s">
        <v>5</v>
      </c>
      <c r="C8" s="9" t="s">
        <v>7</v>
      </c>
      <c r="D8" s="9" t="s">
        <v>8</v>
      </c>
      <c r="F8" s="10" t="s">
        <v>9</v>
      </c>
      <c r="G8" s="10" t="s">
        <v>10</v>
      </c>
      <c r="H8" s="10" t="s">
        <v>11</v>
      </c>
    </row>
    <row r="9" customFormat="false" ht="15" hidden="false" customHeight="false" outlineLevel="0" collapsed="false">
      <c r="A9" s="11" t="s">
        <v>3</v>
      </c>
      <c r="B9" s="12" t="n">
        <f aca="false">COUNTIF('Prod Pod'!$C$5:$C$12,A9)</f>
        <v>5</v>
      </c>
      <c r="C9" s="12" t="n">
        <f aca="false">COUNTIF('Other FINRA'!$C$5:$C$12,A9)</f>
        <v>7</v>
      </c>
      <c r="D9" s="13" t="n">
        <f aca="false">B9+C9</f>
        <v>12</v>
      </c>
      <c r="F9" s="14" t="s">
        <v>12</v>
      </c>
      <c r="G9" s="12" t="n">
        <f aca="false">COUNTIF('Prod Pod'!$E$5:$E$12,F9)+COUNTIF('Other FINRA'!$E$5:$E$12,F9)</f>
        <v>7</v>
      </c>
      <c r="H9" s="14" t="s">
        <v>5</v>
      </c>
    </row>
    <row r="10" customFormat="false" ht="15" hidden="false" customHeight="false" outlineLevel="0" collapsed="false">
      <c r="A10" s="15" t="s">
        <v>13</v>
      </c>
      <c r="B10" s="12" t="n">
        <f aca="false">COUNTIF('Prod Pod'!$C$5:$C$12,A10)</f>
        <v>0</v>
      </c>
      <c r="C10" s="12" t="n">
        <f aca="false">COUNTIF('Other FINRA'!$C$5:$C$12,A10)</f>
        <v>1</v>
      </c>
      <c r="D10" s="13" t="n">
        <f aca="false">B10+C10</f>
        <v>1</v>
      </c>
      <c r="F10" s="14" t="s">
        <v>14</v>
      </c>
      <c r="G10" s="12" t="n">
        <f aca="false">COUNTIF('Prod Pod'!$E$5:$E$12,F10)+COUNTIF('Other FINRA'!$E$5:$E$12,F10)</f>
        <v>1</v>
      </c>
      <c r="H10" s="14" t="s">
        <v>5</v>
      </c>
    </row>
    <row r="11" customFormat="false" ht="15" hidden="false" customHeight="false" outlineLevel="0" collapsed="false">
      <c r="A11" s="16" t="s">
        <v>15</v>
      </c>
      <c r="B11" s="12" t="n">
        <f aca="false">COUNTIF('Prod Pod'!$C$5:$C$12,A11)</f>
        <v>1</v>
      </c>
      <c r="C11" s="12" t="n">
        <f aca="false">COUNTIF('Other FINRA'!$C$5:$C$12,A11)</f>
        <v>0</v>
      </c>
      <c r="D11" s="13" t="n">
        <f aca="false">B11+C11</f>
        <v>1</v>
      </c>
      <c r="F11" s="17" t="s">
        <v>16</v>
      </c>
      <c r="G11" s="12" t="n">
        <f aca="false">COUNTIF('Prod Pod'!$E$5:$E$12,F11)+COUNTIF('Other FINRA'!$E$5:$E$12,F11)</f>
        <v>2</v>
      </c>
      <c r="H11" s="18" t="s">
        <v>17</v>
      </c>
    </row>
    <row r="12" customFormat="false" ht="15" hidden="false" customHeight="false" outlineLevel="0" collapsed="false">
      <c r="A12" s="19" t="s">
        <v>18</v>
      </c>
      <c r="B12" s="12" t="n">
        <f aca="false">COUNTIF('Prod Pod'!$C$5:$C$12,A12)</f>
        <v>2</v>
      </c>
      <c r="C12" s="12" t="n">
        <f aca="false">COUNTIF('Other FINRA'!$C$5:$C$12,A12)</f>
        <v>0</v>
      </c>
      <c r="D12" s="13" t="n">
        <f aca="false">B12+C12</f>
        <v>2</v>
      </c>
      <c r="F12" s="17" t="s">
        <v>19</v>
      </c>
      <c r="G12" s="12" t="n">
        <f aca="false">COUNTIF('Prod Pod'!$E$5:$E$12,F12)+COUNTIF('Other FINRA'!$E$5:$E$12,F12)</f>
        <v>1</v>
      </c>
      <c r="H12" s="18" t="s">
        <v>17</v>
      </c>
    </row>
    <row r="13" customFormat="false" ht="15" hidden="false" customHeight="false" outlineLevel="0" collapsed="false">
      <c r="A13" s="20" t="s">
        <v>20</v>
      </c>
      <c r="B13" s="12" t="n">
        <f aca="false">COUNTIF('Prod Pod'!$C$5:$C$12,A13)</f>
        <v>0</v>
      </c>
      <c r="C13" s="12" t="n">
        <f aca="false">COUNTIF('Other FINRA'!$C$5:$C$12,A13)</f>
        <v>0</v>
      </c>
      <c r="D13" s="13" t="n">
        <f aca="false">B13+C13</f>
        <v>0</v>
      </c>
      <c r="F13" s="17" t="s">
        <v>21</v>
      </c>
      <c r="G13" s="12" t="n">
        <f aca="false">COUNTIF('Prod Pod'!$E$5:$E$12,F13)+COUNTIF('Other FINRA'!$E$5:$E$12,F13)</f>
        <v>3</v>
      </c>
      <c r="H13" s="18" t="s">
        <v>17</v>
      </c>
    </row>
    <row r="14" customFormat="false" ht="15" hidden="false" customHeight="false" outlineLevel="0" collapsed="false">
      <c r="A14" s="21" t="s">
        <v>8</v>
      </c>
      <c r="B14" s="22" t="n">
        <f aca="false">SUM(B9:B13)</f>
        <v>8</v>
      </c>
      <c r="C14" s="22" t="n">
        <f aca="false">SUM(C9:C13)</f>
        <v>8</v>
      </c>
      <c r="D14" s="22" t="n">
        <f aca="false">SUM(D9:D13)</f>
        <v>16</v>
      </c>
      <c r="F14" s="17" t="s">
        <v>22</v>
      </c>
      <c r="G14" s="12" t="n">
        <f aca="false">COUNTIF('Prod Pod'!$E$5:$E$12,"Unassigned")+COUNTIF('Other FINRA'!$E$5:$E$12,"Unassigned")</f>
        <v>2</v>
      </c>
      <c r="H14" s="18" t="s">
        <v>17</v>
      </c>
    </row>
    <row r="32" customFormat="false" ht="15" hidden="false" customHeight="false" outlineLevel="0" collapsed="false">
      <c r="A32" s="23" t="s">
        <v>23</v>
      </c>
    </row>
    <row r="33" customFormat="false" ht="15" hidden="false" customHeight="false" outlineLevel="0" collapsed="false">
      <c r="A33" s="24" t="s">
        <v>24</v>
      </c>
    </row>
    <row r="34" customFormat="false" ht="15" hidden="false" customHeight="false" outlineLevel="0" collapsed="false">
      <c r="A34" s="24" t="s">
        <v>25</v>
      </c>
    </row>
    <row r="35" customFormat="false" ht="15" hidden="false" customHeight="false" outlineLevel="0" collapsed="false">
      <c r="A35" s="24" t="s">
        <v>26</v>
      </c>
    </row>
    <row r="36" customFormat="false" ht="15" hidden="false" customHeight="false" outlineLevel="0" collapsed="false">
      <c r="A36" s="24" t="s">
        <v>27</v>
      </c>
    </row>
    <row r="37" customFormat="false" ht="15" hidden="false" customHeight="false" outlineLevel="0" collapsed="false">
      <c r="A37" s="24" t="s">
        <v>28</v>
      </c>
    </row>
    <row r="38" customFormat="false" ht="15" hidden="false" customHeight="false" outlineLevel="0" collapsed="false">
      <c r="A38" s="24" t="s">
        <v>29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tru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48"/>
  </cols>
  <sheetData>
    <row r="1" customFormat="false" ht="30" hidden="false" customHeight="true" outlineLevel="0" collapsed="false">
      <c r="A1" s="25" t="s">
        <v>30</v>
      </c>
      <c r="B1" s="25"/>
      <c r="C1" s="25"/>
      <c r="D1" s="25"/>
      <c r="E1" s="25"/>
      <c r="F1" s="25"/>
      <c r="G1" s="25"/>
    </row>
    <row r="2" customFormat="false" ht="18" hidden="false" customHeight="true" outlineLevel="0" collapsed="false">
      <c r="A2" s="26" t="s">
        <v>31</v>
      </c>
      <c r="B2" s="26"/>
      <c r="C2" s="26"/>
      <c r="D2" s="26"/>
      <c r="E2" s="26"/>
      <c r="F2" s="26"/>
      <c r="G2" s="26"/>
    </row>
    <row r="4" customFormat="false" ht="21.75" hidden="false" customHeight="true" outlineLevel="0" collapsed="false">
      <c r="A4" s="27" t="s">
        <v>32</v>
      </c>
      <c r="B4" s="28" t="s">
        <v>33</v>
      </c>
      <c r="C4" s="28" t="s">
        <v>6</v>
      </c>
      <c r="D4" s="28" t="s">
        <v>34</v>
      </c>
      <c r="E4" s="28" t="s">
        <v>9</v>
      </c>
      <c r="F4" s="28" t="s">
        <v>35</v>
      </c>
      <c r="G4" s="28" t="s">
        <v>36</v>
      </c>
    </row>
    <row r="5" customFormat="false" ht="15" hidden="false" customHeight="false" outlineLevel="0" collapsed="false">
      <c r="A5" s="29" t="s">
        <v>37</v>
      </c>
      <c r="B5" s="30" t="s">
        <v>38</v>
      </c>
      <c r="C5" s="31" t="s">
        <v>3</v>
      </c>
      <c r="D5" s="32" t="s">
        <v>39</v>
      </c>
      <c r="E5" s="33" t="s">
        <v>14</v>
      </c>
      <c r="F5" s="32" t="s">
        <v>40</v>
      </c>
      <c r="G5" s="30"/>
    </row>
    <row r="6" customFormat="false" ht="15" hidden="false" customHeight="false" outlineLevel="0" collapsed="false">
      <c r="A6" s="34" t="s">
        <v>41</v>
      </c>
      <c r="B6" s="35" t="s">
        <v>42</v>
      </c>
      <c r="C6" s="31" t="s">
        <v>3</v>
      </c>
      <c r="D6" s="36" t="s">
        <v>43</v>
      </c>
      <c r="E6" s="37" t="s">
        <v>12</v>
      </c>
      <c r="F6" s="36" t="s">
        <v>44</v>
      </c>
      <c r="G6" s="35"/>
    </row>
    <row r="7" customFormat="false" ht="23.85" hidden="false" customHeight="false" outlineLevel="0" collapsed="false">
      <c r="A7" s="29" t="s">
        <v>45</v>
      </c>
      <c r="B7" s="30" t="s">
        <v>46</v>
      </c>
      <c r="C7" s="31" t="s">
        <v>3</v>
      </c>
      <c r="D7" s="32" t="s">
        <v>39</v>
      </c>
      <c r="E7" s="33" t="s">
        <v>12</v>
      </c>
      <c r="F7" s="32" t="s">
        <v>44</v>
      </c>
      <c r="G7" s="30"/>
    </row>
    <row r="8" customFormat="false" ht="15" hidden="false" customHeight="false" outlineLevel="0" collapsed="false">
      <c r="A8" s="34" t="s">
        <v>47</v>
      </c>
      <c r="B8" s="35" t="s">
        <v>48</v>
      </c>
      <c r="C8" s="31" t="s">
        <v>3</v>
      </c>
      <c r="D8" s="36" t="s">
        <v>39</v>
      </c>
      <c r="E8" s="37" t="s">
        <v>12</v>
      </c>
      <c r="F8" s="36" t="s">
        <v>49</v>
      </c>
      <c r="G8" s="35"/>
    </row>
    <row r="9" customFormat="false" ht="23.85" hidden="false" customHeight="false" outlineLevel="0" collapsed="false">
      <c r="A9" s="29" t="s">
        <v>50</v>
      </c>
      <c r="B9" s="30" t="s">
        <v>51</v>
      </c>
      <c r="C9" s="31" t="s">
        <v>3</v>
      </c>
      <c r="D9" s="32" t="s">
        <v>39</v>
      </c>
      <c r="E9" s="33" t="s">
        <v>12</v>
      </c>
      <c r="F9" s="32" t="s">
        <v>52</v>
      </c>
      <c r="G9" s="30"/>
    </row>
    <row r="10" customFormat="false" ht="23.85" hidden="false" customHeight="false" outlineLevel="0" collapsed="false">
      <c r="A10" s="34" t="s">
        <v>53</v>
      </c>
      <c r="B10" s="35" t="s">
        <v>54</v>
      </c>
      <c r="C10" s="38" t="s">
        <v>15</v>
      </c>
      <c r="D10" s="36" t="s">
        <v>39</v>
      </c>
      <c r="E10" s="37" t="s">
        <v>12</v>
      </c>
      <c r="F10" s="36" t="s">
        <v>52</v>
      </c>
      <c r="G10" s="35"/>
    </row>
    <row r="11" customFormat="false" ht="15" hidden="false" customHeight="false" outlineLevel="0" collapsed="false">
      <c r="A11" s="29" t="s">
        <v>55</v>
      </c>
      <c r="B11" s="30" t="s">
        <v>56</v>
      </c>
      <c r="C11" s="39" t="s">
        <v>18</v>
      </c>
      <c r="D11" s="32" t="s">
        <v>39</v>
      </c>
      <c r="E11" s="33" t="s">
        <v>12</v>
      </c>
      <c r="F11" s="32" t="s">
        <v>57</v>
      </c>
      <c r="G11" s="30"/>
    </row>
    <row r="12" customFormat="false" ht="23.85" hidden="false" customHeight="false" outlineLevel="0" collapsed="false">
      <c r="A12" s="34" t="s">
        <v>58</v>
      </c>
      <c r="B12" s="35" t="s">
        <v>59</v>
      </c>
      <c r="C12" s="39" t="s">
        <v>18</v>
      </c>
      <c r="D12" s="36" t="s">
        <v>39</v>
      </c>
      <c r="E12" s="37" t="s">
        <v>12</v>
      </c>
      <c r="F12" s="36" t="s">
        <v>60</v>
      </c>
      <c r="G12" s="35"/>
    </row>
  </sheetData>
  <autoFilter ref="A4:G12"/>
  <mergeCells count="2">
    <mergeCell ref="A1:G1"/>
    <mergeCell ref="A2:G2"/>
  </mergeCells>
  <hyperlinks>
    <hyperlink ref="A5" r:id="rId1" display="CR-1274"/>
    <hyperlink ref="A6" r:id="rId2" display="CR-1310"/>
    <hyperlink ref="A7" r:id="rId3" display="IP-2790"/>
    <hyperlink ref="A8" r:id="rId4" display="IP-2991"/>
    <hyperlink ref="A9" r:id="rId5" display="IP-3086"/>
    <hyperlink ref="A10" r:id="rId6" display="IP-3005"/>
    <hyperlink ref="A11" r:id="rId7" display="CR-1072"/>
    <hyperlink ref="A12" r:id="rId8" display="CR-125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9C3"/>
    <pageSetUpPr fitToPage="tru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48"/>
  </cols>
  <sheetData>
    <row r="1" customFormat="false" ht="30" hidden="false" customHeight="true" outlineLevel="0" collapsed="false">
      <c r="A1" s="40" t="s">
        <v>61</v>
      </c>
      <c r="B1" s="40"/>
      <c r="C1" s="40"/>
      <c r="D1" s="40"/>
      <c r="E1" s="40"/>
      <c r="F1" s="40"/>
      <c r="G1" s="40"/>
    </row>
    <row r="2" customFormat="false" ht="18" hidden="false" customHeight="true" outlineLevel="0" collapsed="false">
      <c r="A2" s="41" t="s">
        <v>62</v>
      </c>
      <c r="B2" s="41"/>
      <c r="C2" s="41"/>
      <c r="D2" s="41"/>
      <c r="E2" s="41"/>
      <c r="F2" s="41"/>
      <c r="G2" s="41"/>
    </row>
    <row r="4" customFormat="false" ht="21.75" hidden="false" customHeight="true" outlineLevel="0" collapsed="false">
      <c r="A4" s="27" t="s">
        <v>32</v>
      </c>
      <c r="B4" s="28" t="s">
        <v>33</v>
      </c>
      <c r="C4" s="28" t="s">
        <v>6</v>
      </c>
      <c r="D4" s="28" t="s">
        <v>34</v>
      </c>
      <c r="E4" s="28" t="s">
        <v>9</v>
      </c>
      <c r="F4" s="28" t="s">
        <v>35</v>
      </c>
      <c r="G4" s="28" t="s">
        <v>36</v>
      </c>
    </row>
    <row r="5" customFormat="false" ht="15" hidden="false" customHeight="false" outlineLevel="0" collapsed="false">
      <c r="A5" s="29" t="s">
        <v>63</v>
      </c>
      <c r="B5" s="30" t="s">
        <v>64</v>
      </c>
      <c r="C5" s="31" t="s">
        <v>3</v>
      </c>
      <c r="D5" s="32" t="s">
        <v>65</v>
      </c>
      <c r="E5" s="32" t="s">
        <v>16</v>
      </c>
      <c r="F5" s="32" t="s">
        <v>66</v>
      </c>
      <c r="G5" s="30"/>
    </row>
    <row r="6" customFormat="false" ht="23.85" hidden="false" customHeight="false" outlineLevel="0" collapsed="false">
      <c r="A6" s="34" t="s">
        <v>67</v>
      </c>
      <c r="B6" s="35" t="s">
        <v>68</v>
      </c>
      <c r="C6" s="31" t="s">
        <v>3</v>
      </c>
      <c r="D6" s="36" t="s">
        <v>39</v>
      </c>
      <c r="E6" s="42" t="s">
        <v>22</v>
      </c>
      <c r="F6" s="36" t="s">
        <v>69</v>
      </c>
      <c r="G6" s="35"/>
    </row>
    <row r="7" customFormat="false" ht="15" hidden="false" customHeight="false" outlineLevel="0" collapsed="false">
      <c r="A7" s="29" t="s">
        <v>70</v>
      </c>
      <c r="B7" s="30" t="s">
        <v>71</v>
      </c>
      <c r="C7" s="31" t="s">
        <v>3</v>
      </c>
      <c r="D7" s="32" t="s">
        <v>39</v>
      </c>
      <c r="E7" s="32" t="s">
        <v>21</v>
      </c>
      <c r="F7" s="32" t="s">
        <v>52</v>
      </c>
      <c r="G7" s="30"/>
    </row>
    <row r="8" customFormat="false" ht="23.85" hidden="false" customHeight="false" outlineLevel="0" collapsed="false">
      <c r="A8" s="34" t="s">
        <v>72</v>
      </c>
      <c r="B8" s="35" t="s">
        <v>73</v>
      </c>
      <c r="C8" s="31" t="s">
        <v>3</v>
      </c>
      <c r="D8" s="36" t="s">
        <v>39</v>
      </c>
      <c r="E8" s="36" t="s">
        <v>21</v>
      </c>
      <c r="F8" s="36" t="s">
        <v>74</v>
      </c>
      <c r="G8" s="35"/>
    </row>
    <row r="9" customFormat="false" ht="15" hidden="false" customHeight="false" outlineLevel="0" collapsed="false">
      <c r="A9" s="29" t="s">
        <v>75</v>
      </c>
      <c r="B9" s="30" t="s">
        <v>76</v>
      </c>
      <c r="C9" s="31" t="s">
        <v>3</v>
      </c>
      <c r="D9" s="32" t="s">
        <v>39</v>
      </c>
      <c r="E9" s="32" t="s">
        <v>21</v>
      </c>
      <c r="F9" s="32" t="s">
        <v>77</v>
      </c>
      <c r="G9" s="30"/>
    </row>
    <row r="10" customFormat="false" ht="15" hidden="false" customHeight="false" outlineLevel="0" collapsed="false">
      <c r="A10" s="34" t="s">
        <v>78</v>
      </c>
      <c r="B10" s="35" t="s">
        <v>79</v>
      </c>
      <c r="C10" s="31" t="s">
        <v>3</v>
      </c>
      <c r="D10" s="36" t="s">
        <v>39</v>
      </c>
      <c r="E10" s="36" t="s">
        <v>16</v>
      </c>
      <c r="F10" s="36" t="s">
        <v>80</v>
      </c>
      <c r="G10" s="35"/>
    </row>
    <row r="11" customFormat="false" ht="23.85" hidden="false" customHeight="false" outlineLevel="0" collapsed="false">
      <c r="A11" s="29" t="s">
        <v>81</v>
      </c>
      <c r="B11" s="30" t="s">
        <v>82</v>
      </c>
      <c r="C11" s="31" t="s">
        <v>3</v>
      </c>
      <c r="D11" s="32" t="s">
        <v>83</v>
      </c>
      <c r="E11" s="32" t="s">
        <v>19</v>
      </c>
      <c r="F11" s="32" t="s">
        <v>40</v>
      </c>
      <c r="G11" s="43" t="s">
        <v>84</v>
      </c>
    </row>
    <row r="12" customFormat="false" ht="23.85" hidden="false" customHeight="false" outlineLevel="0" collapsed="false">
      <c r="A12" s="34" t="s">
        <v>85</v>
      </c>
      <c r="B12" s="35" t="s">
        <v>86</v>
      </c>
      <c r="C12" s="44" t="s">
        <v>13</v>
      </c>
      <c r="D12" s="36" t="s">
        <v>43</v>
      </c>
      <c r="E12" s="42" t="s">
        <v>22</v>
      </c>
      <c r="F12" s="36" t="s">
        <v>80</v>
      </c>
      <c r="G12" s="45" t="s">
        <v>87</v>
      </c>
    </row>
  </sheetData>
  <autoFilter ref="A4:G12"/>
  <mergeCells count="2">
    <mergeCell ref="A1:G1"/>
    <mergeCell ref="A2:G2"/>
  </mergeCells>
  <hyperlinks>
    <hyperlink ref="A5" r:id="rId1" display="CBT-146"/>
    <hyperlink ref="A6" r:id="rId2" display="CR-1428"/>
    <hyperlink ref="A7" r:id="rId3" display="IP-3125"/>
    <hyperlink ref="A8" r:id="rId4" display="IP-3152"/>
    <hyperlink ref="A9" r:id="rId5" display="IP-3167"/>
    <hyperlink ref="A10" r:id="rId6" display="IP-3180"/>
    <hyperlink ref="A11" r:id="rId7" display="MEG-33917"/>
    <hyperlink ref="A12" r:id="rId8" display="IP-319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tru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48"/>
  </cols>
  <sheetData>
    <row r="1" customFormat="false" ht="30" hidden="false" customHeight="true" outlineLevel="0" collapsed="false">
      <c r="A1" s="46" t="s">
        <v>88</v>
      </c>
      <c r="B1" s="46"/>
      <c r="C1" s="46"/>
      <c r="D1" s="46"/>
      <c r="E1" s="46"/>
      <c r="F1" s="46"/>
      <c r="G1" s="46"/>
    </row>
    <row r="2" customFormat="false" ht="18" hidden="false" customHeight="true" outlineLevel="0" collapsed="false">
      <c r="A2" s="47" t="s">
        <v>89</v>
      </c>
      <c r="B2" s="47"/>
      <c r="C2" s="47"/>
      <c r="D2" s="47"/>
      <c r="E2" s="47"/>
      <c r="F2" s="47"/>
      <c r="G2" s="47"/>
    </row>
    <row r="4" customFormat="false" ht="21.75" hidden="false" customHeight="true" outlineLevel="0" collapsed="false">
      <c r="A4" s="27" t="s">
        <v>32</v>
      </c>
      <c r="B4" s="28" t="s">
        <v>33</v>
      </c>
      <c r="C4" s="28" t="s">
        <v>6</v>
      </c>
      <c r="D4" s="28" t="s">
        <v>34</v>
      </c>
      <c r="E4" s="28" t="s">
        <v>9</v>
      </c>
      <c r="F4" s="28" t="s">
        <v>35</v>
      </c>
      <c r="G4" s="28" t="s">
        <v>36</v>
      </c>
    </row>
    <row r="5" customFormat="false" ht="23.85" hidden="false" customHeight="false" outlineLevel="0" collapsed="false">
      <c r="A5" s="29" t="s">
        <v>90</v>
      </c>
      <c r="B5" s="30" t="s">
        <v>91</v>
      </c>
      <c r="C5" s="31" t="s">
        <v>3</v>
      </c>
      <c r="D5" s="32" t="s">
        <v>65</v>
      </c>
      <c r="E5" s="48" t="s">
        <v>22</v>
      </c>
      <c r="F5" s="32" t="s">
        <v>92</v>
      </c>
      <c r="G5" s="43" t="s">
        <v>93</v>
      </c>
    </row>
    <row r="6" customFormat="false" ht="23.85" hidden="false" customHeight="false" outlineLevel="0" collapsed="false">
      <c r="A6" s="34" t="s">
        <v>94</v>
      </c>
      <c r="B6" s="35" t="s">
        <v>95</v>
      </c>
      <c r="C6" s="31" t="s">
        <v>3</v>
      </c>
      <c r="D6" s="36" t="s">
        <v>39</v>
      </c>
      <c r="E6" s="36" t="s">
        <v>96</v>
      </c>
      <c r="F6" s="36" t="s">
        <v>97</v>
      </c>
      <c r="G6" s="45" t="s">
        <v>98</v>
      </c>
    </row>
    <row r="7" customFormat="false" ht="23.85" hidden="false" customHeight="false" outlineLevel="0" collapsed="false">
      <c r="A7" s="29" t="s">
        <v>99</v>
      </c>
      <c r="B7" s="30" t="s">
        <v>100</v>
      </c>
      <c r="C7" s="49" t="s">
        <v>101</v>
      </c>
      <c r="D7" s="32" t="s">
        <v>102</v>
      </c>
      <c r="E7" s="33" t="s">
        <v>12</v>
      </c>
      <c r="F7" s="32" t="s">
        <v>102</v>
      </c>
      <c r="G7" s="43" t="s">
        <v>103</v>
      </c>
    </row>
  </sheetData>
  <autoFilter ref="A4:G7"/>
  <mergeCells count="2">
    <mergeCell ref="A1:G1"/>
    <mergeCell ref="A2:G2"/>
  </mergeCells>
  <hyperlinks>
    <hyperlink ref="A5" r:id="rId1" display="CBT-138"/>
    <hyperlink ref="A6" r:id="rId2" display="IR-955"/>
    <hyperlink ref="A7" r:id="rId3" display="IP-285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2026-10-14T20:26:03Z</dcterms:created>
  <dc:creator>openpyxl</dc:creator>
  <dc:description/>
  <dc:language>en-US</dc:language>
  <cp:lastModifiedBy/>
  <dcterms:modified xsi:type="dcterms:W3CDTF">2026-10-14T20:26:08Z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