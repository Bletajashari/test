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rod Pod" sheetId="2" state="visible" r:id="rId4"/>
    <sheet name="Other FINRA" sheetId="3" state="visible" r:id="rId5"/>
    <sheet name="For Review" sheetId="4" state="visible" r:id="rId6"/>
  </sheets>
  <definedNames>
    <definedName function="false" hidden="false" localSheetId="3" name="_xlnm.Print_Titles" vbProcedure="false">'For Review'!$4:$4</definedName>
    <definedName function="false" hidden="true" localSheetId="3" name="_xlnm._FilterDatabase" vbProcedure="false">'For Review'!$A$4:$H$7</definedName>
    <definedName function="false" hidden="false" localSheetId="2" name="_xlnm.Print_Titles" vbProcedure="false">'Other FINRA'!$4:$4</definedName>
    <definedName function="false" hidden="true" localSheetId="2" name="_xlnm._FilterDatabase" vbProcedure="false">'Other FINRA'!$A$4:$H$19</definedName>
    <definedName function="false" hidden="false" localSheetId="1" name="_xlnm.Print_Titles" vbProcedure="false">'Prod Pod'!$4:$4</definedName>
    <definedName function="false" hidden="true" localSheetId="1" name="_xlnm._FilterDatabase" vbProcedure="false">'Prod Pod'!$A$4:$H$5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<sst xmlns="http://schemas.openxmlformats.org/spreadsheetml/2006/main" count="213" uniqueCount="120">
  <si>
    <t xml:space="preserve">FINRA — Open Work Report</t>
  </si>
  <si>
    <t xml:space="preserve">Jira (megatron) · as of 14 Oct 2026 · In Progress, Needs Analysis</t>
  </si>
  <si>
    <t xml:space="preserve">Open FINRA tickets</t>
  </si>
  <si>
    <t xml:space="preserve">In Progress</t>
  </si>
  <si>
    <t xml:space="preserve">Needs Analysis</t>
  </si>
  <si>
    <t xml:space="preserve">Prod Pod</t>
  </si>
  <si>
    <t xml:space="preserve">Hours logged</t>
  </si>
  <si>
    <t xml:space="preserve">Status</t>
  </si>
  <si>
    <t xml:space="preserve">Other FINRA</t>
  </si>
  <si>
    <t xml:space="preserve">Total</t>
  </si>
  <si>
    <t xml:space="preserve">Assignee</t>
  </si>
  <si>
    <t xml:space="preserve">Tickets</t>
  </si>
  <si>
    <t xml:space="preserve">Team</t>
  </si>
  <si>
    <t xml:space="preserve">Hours</t>
  </si>
  <si>
    <t xml:space="preserve">Shibi Ramaiyan</t>
  </si>
  <si>
    <t xml:space="preserve">Abiola Banjoko</t>
  </si>
  <si>
    <t xml:space="preserve">Other</t>
  </si>
  <si>
    <t xml:space="preserve">Bleta Jashari</t>
  </si>
  <si>
    <t xml:space="preserve">Dalvinder Grewal</t>
  </si>
  <si>
    <t xml:space="preserve">Mitali Bhavsar</t>
  </si>
  <si>
    <t xml:space="preserve">Pavan Vemunuri</t>
  </si>
  <si>
    <t xml:space="preserve">Sanchivan Sivadasan</t>
  </si>
  <si>
    <t xml:space="preserve">Satwinder Randhawa</t>
  </si>
  <si>
    <t xml:space="preserve">Timothy Chiang</t>
  </si>
  <si>
    <t xml:space="preserve">Unassigned</t>
  </si>
  <si>
    <t xml:space="preserve">How tickets were selected</t>
  </si>
  <si>
    <t xml:space="preserve">• Current status is In Progress or Needs Analysis.</t>
  </si>
  <si>
    <t xml:space="preserve">• Client field = FINRA, “FINRA” or the “FIN -” project prefix in the title, or a FINRA parent ticket; titles, descriptions and comments were all searched.</t>
  </si>
  <si>
    <t xml:space="preserve">• Prod Pod = tickets assigned to Shibi Ramaiyan or Yetunde Sanusi.</t>
  </si>
  <si>
    <t xml:space="preserve">• Notes flag tickets with no update in over 90 days, multi-client tickets and subtasks.</t>
  </si>
  <si>
    <t xml:space="preserve">• The ‘For Review’ tab lists 3 ETL 2.0 pilot tickets not counted: they cover FINRA alongside Rogers and Anaplan.</t>
  </si>
  <si>
    <t xml:space="preserve">• Not counted: CR-489 (DEL) and MEG-33053 (Block), which only mention FINRA in passing.</t>
  </si>
  <si>
    <t xml:space="preserve">• Hours Logged is the total time logged on each ticket in Jira, all time, including child tickets (MEG-18805 and MEG-20107 hours come from their children).</t>
  </si>
  <si>
    <t xml:space="preserve">• Last Updated is the ticket's last-updated date in Jira. Totals are live formulas over the Prod Pod and Other FINRA tabs.</t>
  </si>
  <si>
    <t xml:space="preserve">Prod Pod — FINRA Open Work</t>
  </si>
  <si>
    <t xml:space="preserve">Assignee: Shibi Ramaiyan or Yetunde Sanusi · as of 14 Oct 2026</t>
  </si>
  <si>
    <t xml:space="preserve">Ticket</t>
  </si>
  <si>
    <t xml:space="preserve">Summary</t>
  </si>
  <si>
    <t xml:space="preserve">Reporter</t>
  </si>
  <si>
    <t xml:space="preserve">Last Updated</t>
  </si>
  <si>
    <t xml:space="preserve">Hours Logged</t>
  </si>
  <si>
    <t xml:space="preserve">Notes</t>
  </si>
  <si>
    <t xml:space="preserve">IP-3012</t>
  </si>
  <si>
    <t xml:space="preserve">Upgrade the Microsoft Office 365 authentication method for Einstein Activity Capture</t>
  </si>
  <si>
    <t xml:space="preserve">2026-10-13</t>
  </si>
  <si>
    <t xml:space="preserve">Multi-client: Client field = Breakthru, FINRA, Anaplan, OPS</t>
  </si>
  <si>
    <t xml:space="preserve">Total hours logged</t>
  </si>
  <si>
    <t xml:space="preserve">Other FINRA Open Work</t>
  </si>
  <si>
    <t xml:space="preserve">All remaining open FINRA tickets, including unassigned · as of 14 Oct 2026</t>
  </si>
  <si>
    <t xml:space="preserve">MEG-18805</t>
  </si>
  <si>
    <t xml:space="preserve">FIN - Discovery</t>
  </si>
  <si>
    <t xml:space="preserve">Ryan Quesnel</t>
  </si>
  <si>
    <t xml:space="preserve">2025-03-05</t>
  </si>
  <si>
    <t xml:space="preserve">Hours include child tickets · No update in 588 days</t>
  </si>
  <si>
    <t xml:space="preserve">MEG-19584</t>
  </si>
  <si>
    <t xml:space="preserve">FIN - Data Migration / Load Sheets (PROD) - Business Validation</t>
  </si>
  <si>
    <t xml:space="preserve">David Kong</t>
  </si>
  <si>
    <t xml:space="preserve">2025-06-18</t>
  </si>
  <si>
    <t xml:space="preserve">No update in 483 days</t>
  </si>
  <si>
    <t xml:space="preserve">MEG-19591</t>
  </si>
  <si>
    <t xml:space="preserve">FIN - Data Migration / Load Sheets (PROD) - Dev Uploads</t>
  </si>
  <si>
    <t xml:space="preserve">2025-04-29</t>
  </si>
  <si>
    <t xml:space="preserve">No update in 533 days</t>
  </si>
  <si>
    <t xml:space="preserve">MEG-19723</t>
  </si>
  <si>
    <t xml:space="preserve">FIN - SIT &amp; Regression Testing (Test/Staging) - QA</t>
  </si>
  <si>
    <t xml:space="preserve">2025-05-14</t>
  </si>
  <si>
    <t xml:space="preserve">No update in 518 days</t>
  </si>
  <si>
    <t xml:space="preserve">MEG-20107</t>
  </si>
  <si>
    <t xml:space="preserve">FIN - Setup DevOps Pipeline (to QA/FULL)</t>
  </si>
  <si>
    <t xml:space="preserve">2025-04-04</t>
  </si>
  <si>
    <t xml:space="preserve">Hours include child tickets · No update in 558 days</t>
  </si>
  <si>
    <t xml:space="preserve">MEG-20258</t>
  </si>
  <si>
    <t xml:space="preserve">Provision API Access to Client (FIN - Client Training &amp; Support of API)</t>
  </si>
  <si>
    <t xml:space="preserve">No update in 558 days</t>
  </si>
  <si>
    <t xml:space="preserve">MEG-20651</t>
  </si>
  <si>
    <t xml:space="preserve">FIN - Integration Connectivity Instructions</t>
  </si>
  <si>
    <t xml:space="preserve">2025-05-20</t>
  </si>
  <si>
    <t xml:space="preserve">No update in 512 days</t>
  </si>
  <si>
    <t xml:space="preserve">STAR-1688</t>
  </si>
  <si>
    <t xml:space="preserve">FINRA Report/Dashboard prep</t>
  </si>
  <si>
    <t xml:space="preserve">Beth Bruder</t>
  </si>
  <si>
    <t xml:space="preserve">2025-07-03</t>
  </si>
  <si>
    <t xml:space="preserve">No update in 468 days</t>
  </si>
  <si>
    <t xml:space="preserve">STAR-1692</t>
  </si>
  <si>
    <t xml:space="preserve">“Starts” dashboard</t>
  </si>
  <si>
    <t xml:space="preserve">2025-06-16</t>
  </si>
  <si>
    <t xml:space="preserve">Subtask of STAR-1688 FINRA Report/Dashboard prep · No update in 485 days</t>
  </si>
  <si>
    <t xml:space="preserve">STAR-1693</t>
  </si>
  <si>
    <t xml:space="preserve">“Ends” dashboard</t>
  </si>
  <si>
    <t xml:space="preserve">2025-06-17</t>
  </si>
  <si>
    <t xml:space="preserve">Subtask of STAR-1688 FINRA Report/Dashboard prep · No update in 484 days</t>
  </si>
  <si>
    <t xml:space="preserve">STAR-1694</t>
  </si>
  <si>
    <t xml:space="preserve">Supplier Performance dashboard</t>
  </si>
  <si>
    <t xml:space="preserve">STAR-1695</t>
  </si>
  <si>
    <t xml:space="preserve">Location tracking</t>
  </si>
  <si>
    <t xml:space="preserve">2025-06-10</t>
  </si>
  <si>
    <t xml:space="preserve">Subtask of STAR-1688 FINRA Report/Dashboard prep · No update in 491 days</t>
  </si>
  <si>
    <t xml:space="preserve">IP-1793</t>
  </si>
  <si>
    <t xml:space="preserve">FINRA - Managers receiving Approval Emails even though approval is not in their queue</t>
  </si>
  <si>
    <t xml:space="preserve">Milan Dusara</t>
  </si>
  <si>
    <t xml:space="preserve">2025-10-14</t>
  </si>
  <si>
    <t xml:space="preserve">No update in 365 days</t>
  </si>
  <si>
    <t xml:space="preserve">MEG-19721</t>
  </si>
  <si>
    <t xml:space="preserve">FIN - Deployment from Test/Staging to PROD</t>
  </si>
  <si>
    <t xml:space="preserve">2025-04-16</t>
  </si>
  <si>
    <t xml:space="preserve">No update in 546 days</t>
  </si>
  <si>
    <t xml:space="preserve">MEG-19724</t>
  </si>
  <si>
    <t xml:space="preserve">FIN - (Targeted) Regression Testing (PROD)</t>
  </si>
  <si>
    <t xml:space="preserve">For Review — Not Counted in Totals</t>
  </si>
  <si>
    <t xml:space="preserve">Multi-client tickets that include FINRA work; decide whether to include</t>
  </si>
  <si>
    <t xml:space="preserve">CBT-137</t>
  </si>
  <si>
    <t xml:space="preserve">.NET build of the three evaluation scenarios (FINRA 400, Rogers Freelancers, Anaplan P1000 Employees)</t>
  </si>
  <si>
    <t xml:space="preserve">mohsinb</t>
  </si>
  <si>
    <t xml:space="preserve">Multi-client ETL 2.0 pilot: FINRA 400 is one of three scenarios</t>
  </si>
  <si>
    <t xml:space="preserve">CBT-85</t>
  </si>
  <si>
    <t xml:space="preserve">Define pilot exit criteria and reconciliation method</t>
  </si>
  <si>
    <t xml:space="preserve">Multi-client ETL 2.0 pilot: scorecard covers FINRA 400, Rogers Freelancers and Anaplan P1000</t>
  </si>
  <si>
    <t xml:space="preserve">CBT-97</t>
  </si>
  <si>
    <t xml:space="preserve">Assess ADF-native versus Functions per pilot workload</t>
  </si>
  <si>
    <t xml:space="preserve">Multi-client ETL 2.0 pilot: workloads include FINRA 400 and Rogers 1500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</si>
</sst>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&quot; h&quot;"/>
    <numFmt numFmtId="167" formatCode="0.00&quot; h&quot;"/>
    <numFmt numFmtId="168" formatCode="0.00&quot; h&quot;;;&quot;0 h&quot;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DCE6F7"/>
      <name val="Arial"/>
      <family val="0"/>
      <charset val="1"/>
    </font>
    <font>
      <sz val="9"/>
      <color rgb="FF64748B"/>
      <name val="Arial"/>
      <family val="0"/>
      <charset val="1"/>
    </font>
    <font>
      <b val="true"/>
      <sz val="22"/>
      <color rgb="FF14213D"/>
      <name val="Arial"/>
      <family val="0"/>
      <charset val="1"/>
    </font>
    <font>
      <b val="true"/>
      <sz val="22"/>
      <color rgb="FF2563EB"/>
      <name val="Arial"/>
      <family val="0"/>
      <charset val="1"/>
    </font>
    <font>
      <b val="true"/>
      <sz val="22"/>
      <color rgb="FFD97706"/>
      <name val="Arial"/>
      <family val="0"/>
      <charset val="1"/>
    </font>
    <font>
      <b val="true"/>
      <sz val="22"/>
      <color rgb="FF0F766E"/>
      <name val="Arial"/>
      <family val="0"/>
      <charset val="1"/>
    </font>
    <font>
      <b val="true"/>
      <sz val="22"/>
      <color rgb="FF7C3AE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E40A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F766E"/>
      <name val="Arial"/>
      <family val="0"/>
      <charset val="1"/>
    </font>
    <font>
      <b val="true"/>
      <sz val="10"/>
      <color rgb="FF92400E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64748B"/>
      <name val="Arial"/>
      <family val="0"/>
      <charset val="1"/>
    </font>
    <font>
      <b val="true"/>
      <sz val="10"/>
      <color rgb="FF14213D"/>
      <name val="Arial"/>
      <family val="0"/>
      <charset val="1"/>
    </font>
    <font>
      <sz val="9"/>
      <color rgb="FF47556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u val="single"/>
      <sz val="10"/>
      <color rgb="FF2B59C3"/>
      <name val="Arial"/>
      <family val="0"/>
      <charset val="1"/>
    </font>
    <font>
      <sz val="10"/>
      <color rgb="FF94A3B8"/>
      <name val="Arial"/>
      <family val="0"/>
      <charset val="1"/>
    </font>
    <font>
      <i val="true"/>
      <sz val="10"/>
      <color rgb="FFB45309"/>
      <name val="Arial"/>
      <family val="0"/>
      <charset val="1"/>
    </font>
    <font>
      <i val="true"/>
      <sz val="10"/>
      <color rgb="FF94A3B8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4213D"/>
        <bgColor rgb="FF003366"/>
      </patternFill>
    </fill>
    <fill>
      <patternFill patternType="solid">
        <fgColor rgb="FFF1F5F9"/>
        <bgColor rgb="FFF8FAFC"/>
      </patternFill>
    </fill>
    <fill>
      <patternFill patternType="solid">
        <fgColor rgb="FFDBEAFE"/>
        <bgColor rgb="FFDCE6F7"/>
      </patternFill>
    </fill>
    <fill>
      <patternFill patternType="solid">
        <fgColor rgb="FFFEF3C7"/>
        <bgColor rgb="FFF1F5F9"/>
      </patternFill>
    </fill>
    <fill>
      <patternFill patternType="solid">
        <fgColor rgb="FF0F766E"/>
        <bgColor rgb="FF008080"/>
      </patternFill>
    </fill>
    <fill>
      <patternFill patternType="solid">
        <fgColor rgb="FF2B59C3"/>
        <bgColor rgb="FF2563EB"/>
      </patternFill>
    </fill>
    <fill>
      <patternFill patternType="solid">
        <fgColor rgb="FFF8FAFC"/>
        <bgColor rgb="FFFFFFFF"/>
      </patternFill>
    </fill>
    <fill>
      <patternFill patternType="solid">
        <fgColor rgb="FF64748B"/>
        <bgColor rgb="FF87878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5E9F0"/>
      </bottom>
      <diagonal/>
    </border>
    <border diagonalUp="false" diagonalDown="false">
      <left/>
      <right/>
      <top style="medium">
        <color rgb="FF14213D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false" indent="1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2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7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7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5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26" fillId="8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8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8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9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9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421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B59C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E40A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78787"/>
      <rgbColor rgb="FF9999FF"/>
      <rgbColor rgb="FFB45309"/>
      <rgbColor rgb="FFFEF3C7"/>
      <rgbColor rgb="FFDBEAFE"/>
      <rgbColor rgb="FF660066"/>
      <rgbColor rgb="FFFF8080"/>
      <rgbColor rgb="FF2B59C3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7"/>
      <rgbColor rgb="FFE5E9F0"/>
      <rgbColor rgb="FFF8FAFC"/>
      <rgbColor rgb="FF99CCFF"/>
      <rgbColor rgb="FFFF99CC"/>
      <rgbColor rgb="FFCC99FF"/>
      <rgbColor rgb="FFF1F5F9"/>
      <rgbColor rgb="FF2563EB"/>
      <rgbColor rgb="FF33CCCC"/>
      <rgbColor rgb="FF99CC00"/>
      <rgbColor rgb="FFFFCC00"/>
      <rgbColor rgb="FFFF9900"/>
      <rgbColor rgb="FFD97706"/>
      <rgbColor rgb="FF64748B"/>
      <rgbColor rgb="FF94A3B8"/>
      <rgbColor rgb="FF003366"/>
      <rgbColor rgb="FF339966"/>
      <rgbColor rgb="FF003300"/>
      <rgbColor rgb="FF475569"/>
      <rgbColor rgb="FF92400E"/>
      <rgbColor rgb="FF7C3AED"/>
      <rgbColor rgb="FF1E40AF"/>
      <rgbColor rgb="FF1421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Tickets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Summary!B8</c:f>
              <c:strCache>
                <c:ptCount val="1"/>
                <c:pt idx="0">
                  <c:v>Prod Pod</c:v>
                </c:pt>
              </c:strCache>
            </c:strRef>
          </c:tx>
          <c:spPr>
            <a:solidFill>
              <a:srgbClr val="0f766e"/>
            </a:solidFill>
            <a:ln w="9360">
              <a:solidFill>
                <a:srgbClr val="0f766e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Summary!$A$9:$A$10</c:f>
              <c:strCache>
                <c:ptCount val="2"/>
                <c:pt idx="0">
                  <c:v>In Progress</c:v>
                </c:pt>
                <c:pt idx="1">
                  <c:v>Needs Analysis</c:v>
                </c:pt>
              </c:strCache>
            </c:strRef>
          </c:cat>
          <c:val>
            <c:numRef>
              <c:f>Summary!$B$9:$B$10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</c:ser>
        <c:ser>
          <c:idx val="1"/>
          <c:order val="1"/>
          <c:tx>
            <c:strRef>
              <c:f>Summary!C8</c:f>
              <c:strCache>
                <c:ptCount val="1"/>
                <c:pt idx="0">
                  <c:v>Other FINRA</c:v>
                </c:pt>
              </c:strCache>
            </c:strRef>
          </c:tx>
          <c:spPr>
            <a:solidFill>
              <a:srgbClr val="2b59c3"/>
            </a:solidFill>
            <a:ln w="9360">
              <a:solidFill>
                <a:srgbClr val="2b59c3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Summary!$A$9:$A$10</c:f>
              <c:strCache>
                <c:ptCount val="2"/>
                <c:pt idx="0">
                  <c:v>In Progress</c:v>
                </c:pt>
                <c:pt idx="1">
                  <c:v>Needs Analysis</c:v>
                </c:pt>
              </c:strCache>
            </c:strRef>
          </c:cat>
          <c:val>
            <c:numRef>
              <c:f>Summary!$C$9:$C$10</c:f>
              <c:numCache>
                <c:formatCode>General</c:formatCode>
                <c:ptCount val="2"/>
                <c:pt idx="0">
                  <c:v>12</c:v>
                </c:pt>
                <c:pt idx="1">
                  <c:v>3</c:v>
                </c:pt>
              </c:numCache>
            </c:numRef>
          </c:val>
        </c:ser>
        <c:gapWidth val="150"/>
        <c:overlap val="100"/>
        <c:axId val="29041258"/>
        <c:axId val="74207014"/>
      </c:barChart>
      <c:catAx>
        <c:axId val="2904125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207014"/>
        <c:crosses val="autoZero"/>
        <c:auto val="1"/>
        <c:lblAlgn val="ctr"/>
        <c:lblOffset val="100"/>
        <c:noMultiLvlLbl val="0"/>
      </c:catAx>
      <c:valAx>
        <c:axId val="74207014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Tickets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04125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19</xdr:row>
      <xdr:rowOff>0</xdr:rowOff>
    </xdr:from>
    <xdr:to>
      <xdr:col>5</xdr:col>
      <xdr:colOff>1115280</xdr:colOff>
      <xdr:row>33</xdr:row>
      <xdr:rowOff>32760</xdr:rowOff>
    </xdr:to>
    <xdr:graphicFrame>
      <xdr:nvGraphicFramePr>
        <xdr:cNvPr id="0" name="Chart 1"/>
        <xdr:cNvGraphicFramePr/>
      </xdr:nvGraphicFramePr>
      <xdr:xfrm>
        <a:off x="0" y="4086360"/>
        <a:ext cx="611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megatron.atlassian.net/browse/IP-3012" TargetMode="External"/><Relationship Id="rId2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megatron.atlassian.net/browse/MEG-18805" TargetMode="External"/><Relationship Id="rId2" Type="http://schemas.openxmlformats.org/officeDocument/2006/relationships/hyperlink" Target="https://megatron.atlassian.net/browse/MEG-19584" TargetMode="External"/><Relationship Id="rId3" Type="http://schemas.openxmlformats.org/officeDocument/2006/relationships/hyperlink" Target="https://megatron.atlassian.net/browse/MEG-19591" TargetMode="External"/><Relationship Id="rId4" Type="http://schemas.openxmlformats.org/officeDocument/2006/relationships/hyperlink" Target="https://megatron.atlassian.net/browse/MEG-19723" TargetMode="External"/><Relationship Id="rId5" Type="http://schemas.openxmlformats.org/officeDocument/2006/relationships/hyperlink" Target="https://megatron.atlassian.net/browse/MEG-20107" TargetMode="External"/><Relationship Id="rId6" Type="http://schemas.openxmlformats.org/officeDocument/2006/relationships/hyperlink" Target="https://megatron.atlassian.net/browse/MEG-20258" TargetMode="External"/><Relationship Id="rId7" Type="http://schemas.openxmlformats.org/officeDocument/2006/relationships/hyperlink" Target="https://megatron.atlassian.net/browse/MEG-20651" TargetMode="External"/><Relationship Id="rId8" Type="http://schemas.openxmlformats.org/officeDocument/2006/relationships/hyperlink" Target="https://megatron.atlassian.net/browse/STAR-1688" TargetMode="External"/><Relationship Id="rId9" Type="http://schemas.openxmlformats.org/officeDocument/2006/relationships/hyperlink" Target="https://megatron.atlassian.net/browse/STAR-1692" TargetMode="External"/><Relationship Id="rId10" Type="http://schemas.openxmlformats.org/officeDocument/2006/relationships/hyperlink" Target="https://megatron.atlassian.net/browse/STAR-1693" TargetMode="External"/><Relationship Id="rId11" Type="http://schemas.openxmlformats.org/officeDocument/2006/relationships/hyperlink" Target="https://megatron.atlassian.net/browse/STAR-1694" TargetMode="External"/><Relationship Id="rId12" Type="http://schemas.openxmlformats.org/officeDocument/2006/relationships/hyperlink" Target="https://megatron.atlassian.net/browse/STAR-1695" TargetMode="External"/><Relationship Id="rId13" Type="http://schemas.openxmlformats.org/officeDocument/2006/relationships/hyperlink" Target="https://megatron.atlassian.net/browse/IP-1793" TargetMode="External"/><Relationship Id="rId14" Type="http://schemas.openxmlformats.org/officeDocument/2006/relationships/hyperlink" Target="https://megatron.atlassian.net/browse/MEG-19721" TargetMode="External"/><Relationship Id="rId15" Type="http://schemas.openxmlformats.org/officeDocument/2006/relationships/hyperlink" Target="https://megatron.atlassian.net/browse/MEG-19724" TargetMode="External"/><Relationship Id="rId16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megatron.atlassian.net/browse/CBT-137" TargetMode="External"/><Relationship Id="rId2" Type="http://schemas.openxmlformats.org/officeDocument/2006/relationships/hyperlink" Target="https://megatron.atlassian.net/browse/CBT-85" TargetMode="External"/><Relationship Id="rId3" Type="http://schemas.openxmlformats.org/officeDocument/2006/relationships/hyperlink" Target="https://megatron.atlassian.net/browse/CBT-97" TargetMode="External"/><Relationship Id="rId4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4213D"/>
    <pageSetUpPr fitToPage="true"/>
  </sheetPr>
  <dimension ref="A1:I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4"/>
    <col collapsed="false" customWidth="true" hidden="false" outlineLevel="0" max="5" min="5" style="0" width="3"/>
    <col collapsed="false" customWidth="true" hidden="false" outlineLevel="0" max="6" min="6" style="0" width="26"/>
    <col collapsed="false" customWidth="true" hidden="false" outlineLevel="0" max="8" min="7" style="0" width="12"/>
    <col collapsed="false" customWidth="true" hidden="false" outlineLevel="0" max="9" min="9" style="0" width="11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F4" s="3" t="s">
        <v>6</v>
      </c>
    </row>
    <row r="5" customFormat="false" ht="33.75" hidden="false" customHeight="true" outlineLevel="0" collapsed="false">
      <c r="A5" s="4" t="n">
        <f aca="false">COUNTA('Prod Pod'!$C$5:$C$5)+COUNTA('Other FINRA'!$C$5:$C$19)</f>
        <v>16</v>
      </c>
      <c r="B5" s="5" t="n">
        <f aca="false">COUNTIF('Prod Pod'!$C$5:$C$5,"In Progress")+COUNTIF('Other FINRA'!$C$5:$C$19,"In Progress")</f>
        <v>12</v>
      </c>
      <c r="C5" s="6" t="n">
        <f aca="false">COUNTIF('Prod Pod'!$C$5:$C$5,"Needs Analysis")+COUNTIF('Other FINRA'!$C$5:$C$19,"Needs Analysis")</f>
        <v>4</v>
      </c>
      <c r="D5" s="7" t="n">
        <f aca="false">COUNTA('Prod Pod'!$C$5:$C$5)</f>
        <v>1</v>
      </c>
      <c r="F5" s="8" t="n">
        <f aca="false">SUM('Prod Pod'!$G$5:$G$5)+SUM('Other FINRA'!$G$5:$G$19)</f>
        <v>40</v>
      </c>
    </row>
    <row r="8" customFormat="false" ht="15" hidden="false" customHeight="false" outlineLevel="0" collapsed="false">
      <c r="A8" s="9" t="s">
        <v>7</v>
      </c>
      <c r="B8" s="10" t="s">
        <v>5</v>
      </c>
      <c r="C8" s="10" t="s">
        <v>8</v>
      </c>
      <c r="D8" s="10" t="s">
        <v>9</v>
      </c>
      <c r="F8" s="11" t="s">
        <v>10</v>
      </c>
      <c r="G8" s="11" t="s">
        <v>11</v>
      </c>
      <c r="H8" s="11" t="s">
        <v>12</v>
      </c>
      <c r="I8" s="11" t="s">
        <v>13</v>
      </c>
    </row>
    <row r="9" customFormat="false" ht="15" hidden="false" customHeight="false" outlineLevel="0" collapsed="false">
      <c r="A9" s="12" t="s">
        <v>3</v>
      </c>
      <c r="B9" s="13" t="n">
        <f aca="false">COUNTIF('Prod Pod'!$C$5:$C$5,A9)</f>
        <v>0</v>
      </c>
      <c r="C9" s="13" t="n">
        <f aca="false">COUNTIF('Other FINRA'!$C$5:$C$19,A9)</f>
        <v>12</v>
      </c>
      <c r="D9" s="14" t="n">
        <f aca="false">B9+C9</f>
        <v>12</v>
      </c>
      <c r="F9" s="15" t="s">
        <v>14</v>
      </c>
      <c r="G9" s="13" t="n">
        <f aca="false">COUNTIF('Prod Pod'!$E$5:$E$5,F9)+COUNTIF('Other FINRA'!$E$5:$E$19,F9)</f>
        <v>1</v>
      </c>
      <c r="H9" s="15" t="s">
        <v>5</v>
      </c>
      <c r="I9" s="16" t="n">
        <f aca="false">SUMIF('Prod Pod'!$E$5:$E$5,F9,'Prod Pod'!$G$5:$G$5)+SUMIF('Other FINRA'!$E$5:$E$19,F9,'Other FINRA'!$G$5:$G$19)</f>
        <v>0</v>
      </c>
    </row>
    <row r="10" customFormat="false" ht="15" hidden="false" customHeight="false" outlineLevel="0" collapsed="false">
      <c r="A10" s="17" t="s">
        <v>4</v>
      </c>
      <c r="B10" s="13" t="n">
        <f aca="false">COUNTIF('Prod Pod'!$C$5:$C$5,A10)</f>
        <v>1</v>
      </c>
      <c r="C10" s="13" t="n">
        <f aca="false">COUNTIF('Other FINRA'!$C$5:$C$19,A10)</f>
        <v>3</v>
      </c>
      <c r="D10" s="14" t="n">
        <f aca="false">B10+C10</f>
        <v>4</v>
      </c>
      <c r="F10" s="18" t="s">
        <v>15</v>
      </c>
      <c r="G10" s="13" t="n">
        <f aca="false">COUNTIF('Prod Pod'!$E$5:$E$5,F10)+COUNTIF('Other FINRA'!$E$5:$E$19,F10)</f>
        <v>1</v>
      </c>
      <c r="H10" s="19" t="s">
        <v>16</v>
      </c>
      <c r="I10" s="16" t="n">
        <f aca="false">SUMIF('Prod Pod'!$E$5:$E$5,F10,'Prod Pod'!$G$5:$G$5)+SUMIF('Other FINRA'!$E$5:$E$19,F10,'Other FINRA'!$G$5:$G$19)</f>
        <v>0</v>
      </c>
    </row>
    <row r="11" customFormat="false" ht="15" hidden="false" customHeight="false" outlineLevel="0" collapsed="false">
      <c r="A11" s="20" t="s">
        <v>9</v>
      </c>
      <c r="B11" s="21" t="n">
        <f aca="false">SUM(B9:B10)</f>
        <v>1</v>
      </c>
      <c r="C11" s="21" t="n">
        <f aca="false">SUM(C9:C10)</f>
        <v>15</v>
      </c>
      <c r="D11" s="21" t="n">
        <f aca="false">SUM(D9:D10)</f>
        <v>16</v>
      </c>
      <c r="F11" s="18" t="s">
        <v>17</v>
      </c>
      <c r="G11" s="13" t="n">
        <f aca="false">COUNTIF('Prod Pod'!$E$5:$E$5,F11)+COUNTIF('Other FINRA'!$E$5:$E$19,F11)</f>
        <v>1</v>
      </c>
      <c r="H11" s="19" t="s">
        <v>16</v>
      </c>
      <c r="I11" s="16" t="n">
        <f aca="false">SUMIF('Prod Pod'!$E$5:$E$5,F11,'Prod Pod'!$G$5:$G$5)+SUMIF('Other FINRA'!$E$5:$E$19,F11,'Other FINRA'!$G$5:$G$19)</f>
        <v>0</v>
      </c>
    </row>
    <row r="12" customFormat="false" ht="15" hidden="false" customHeight="false" outlineLevel="0" collapsed="false">
      <c r="F12" s="18" t="s">
        <v>18</v>
      </c>
      <c r="G12" s="13" t="n">
        <f aca="false">COUNTIF('Prod Pod'!$E$5:$E$5,F12)+COUNTIF('Other FINRA'!$E$5:$E$19,F12)</f>
        <v>1</v>
      </c>
      <c r="H12" s="19" t="s">
        <v>16</v>
      </c>
      <c r="I12" s="16" t="n">
        <f aca="false">SUMIF('Prod Pod'!$E$5:$E$5,F12,'Prod Pod'!$G$5:$G$5)+SUMIF('Other FINRA'!$E$5:$E$19,F12,'Other FINRA'!$G$5:$G$19)</f>
        <v>0</v>
      </c>
    </row>
    <row r="13" customFormat="false" ht="15" hidden="false" customHeight="false" outlineLevel="0" collapsed="false">
      <c r="F13" s="18" t="s">
        <v>19</v>
      </c>
      <c r="G13" s="13" t="n">
        <f aca="false">COUNTIF('Prod Pod'!$E$5:$E$5,F13)+COUNTIF('Other FINRA'!$E$5:$E$19,F13)</f>
        <v>2</v>
      </c>
      <c r="H13" s="19" t="s">
        <v>16</v>
      </c>
      <c r="I13" s="16" t="n">
        <f aca="false">SUMIF('Prod Pod'!$E$5:$E$5,F13,'Prod Pod'!$G$5:$G$5)+SUMIF('Other FINRA'!$E$5:$E$19,F13,'Other FINRA'!$G$5:$G$19)</f>
        <v>0</v>
      </c>
    </row>
    <row r="14" customFormat="false" ht="15" hidden="false" customHeight="false" outlineLevel="0" collapsed="false">
      <c r="F14" s="18" t="s">
        <v>20</v>
      </c>
      <c r="G14" s="13" t="n">
        <f aca="false">COUNTIF('Prod Pod'!$E$5:$E$5,F14)+COUNTIF('Other FINRA'!$E$5:$E$19,F14)</f>
        <v>1</v>
      </c>
      <c r="H14" s="19" t="s">
        <v>16</v>
      </c>
      <c r="I14" s="16" t="n">
        <f aca="false">SUMIF('Prod Pod'!$E$5:$E$5,F14,'Prod Pod'!$G$5:$G$5)+SUMIF('Other FINRA'!$E$5:$E$19,F14,'Other FINRA'!$G$5:$G$19)</f>
        <v>21</v>
      </c>
    </row>
    <row r="15" customFormat="false" ht="15" hidden="false" customHeight="false" outlineLevel="0" collapsed="false">
      <c r="F15" s="18" t="s">
        <v>21</v>
      </c>
      <c r="G15" s="13" t="n">
        <f aca="false">COUNTIF('Prod Pod'!$E$5:$E$5,F15)+COUNTIF('Other FINRA'!$E$5:$E$19,F15)</f>
        <v>1</v>
      </c>
      <c r="H15" s="19" t="s">
        <v>16</v>
      </c>
      <c r="I15" s="16" t="n">
        <f aca="false">SUMIF('Prod Pod'!$E$5:$E$5,F15,'Prod Pod'!$G$5:$G$5)+SUMIF('Other FINRA'!$E$5:$E$19,F15,'Other FINRA'!$G$5:$G$19)</f>
        <v>5</v>
      </c>
    </row>
    <row r="16" customFormat="false" ht="15" hidden="false" customHeight="false" outlineLevel="0" collapsed="false">
      <c r="F16" s="18" t="s">
        <v>22</v>
      </c>
      <c r="G16" s="13" t="n">
        <f aca="false">COUNTIF('Prod Pod'!$E$5:$E$5,F16)+COUNTIF('Other FINRA'!$E$5:$E$19,F16)</f>
        <v>5</v>
      </c>
      <c r="H16" s="19" t="s">
        <v>16</v>
      </c>
      <c r="I16" s="16" t="n">
        <f aca="false">SUMIF('Prod Pod'!$E$5:$E$5,F16,'Prod Pod'!$G$5:$G$5)+SUMIF('Other FINRA'!$E$5:$E$19,F16,'Other FINRA'!$G$5:$G$19)</f>
        <v>0</v>
      </c>
    </row>
    <row r="17" customFormat="false" ht="15" hidden="false" customHeight="false" outlineLevel="0" collapsed="false">
      <c r="F17" s="18" t="s">
        <v>23</v>
      </c>
      <c r="G17" s="13" t="n">
        <f aca="false">COUNTIF('Prod Pod'!$E$5:$E$5,F17)+COUNTIF('Other FINRA'!$E$5:$E$19,F17)</f>
        <v>1</v>
      </c>
      <c r="H17" s="19" t="s">
        <v>16</v>
      </c>
      <c r="I17" s="16" t="n">
        <f aca="false">SUMIF('Prod Pod'!$E$5:$E$5,F17,'Prod Pod'!$G$5:$G$5)+SUMIF('Other FINRA'!$E$5:$E$19,F17,'Other FINRA'!$G$5:$G$19)</f>
        <v>1</v>
      </c>
    </row>
    <row r="18" customFormat="false" ht="15" hidden="false" customHeight="false" outlineLevel="0" collapsed="false">
      <c r="F18" s="18" t="s">
        <v>24</v>
      </c>
      <c r="G18" s="13" t="n">
        <f aca="false">COUNTIF('Prod Pod'!$E$5:$E$5,"Unassigned")+COUNTIF('Other FINRA'!$E$5:$E$19,"Unassigned")</f>
        <v>2</v>
      </c>
      <c r="H18" s="19" t="s">
        <v>16</v>
      </c>
      <c r="I18" s="16" t="n">
        <f aca="false">SUMIF('Prod Pod'!$E$5:$E$5,F18,'Prod Pod'!$G$5:$G$5)+SUMIF('Other FINRA'!$E$5:$E$19,F18,'Other FINRA'!$G$5:$G$19)</f>
        <v>13</v>
      </c>
    </row>
    <row r="36" customFormat="false" ht="15" hidden="false" customHeight="false" outlineLevel="0" collapsed="false">
      <c r="A36" s="22" t="s">
        <v>25</v>
      </c>
    </row>
    <row r="37" customFormat="false" ht="15" hidden="false" customHeight="false" outlineLevel="0" collapsed="false">
      <c r="A37" s="23" t="s">
        <v>26</v>
      </c>
    </row>
    <row r="38" customFormat="false" ht="15" hidden="false" customHeight="false" outlineLevel="0" collapsed="false">
      <c r="A38" s="23" t="s">
        <v>27</v>
      </c>
    </row>
    <row r="39" customFormat="false" ht="15" hidden="false" customHeight="false" outlineLevel="0" collapsed="false">
      <c r="A39" s="23" t="s">
        <v>28</v>
      </c>
    </row>
    <row r="40" customFormat="false" ht="15" hidden="false" customHeight="false" outlineLevel="0" collapsed="false">
      <c r="A40" s="23" t="s">
        <v>29</v>
      </c>
    </row>
    <row r="41" customFormat="false" ht="15" hidden="false" customHeight="false" outlineLevel="0" collapsed="false">
      <c r="A41" s="23" t="s">
        <v>30</v>
      </c>
    </row>
    <row r="42" customFormat="false" ht="15" hidden="false" customHeight="false" outlineLevel="0" collapsed="false">
      <c r="A42" s="23" t="s">
        <v>31</v>
      </c>
    </row>
    <row r="43" customFormat="false" ht="15" hidden="false" customHeight="false" outlineLevel="0" collapsed="false">
      <c r="A43" s="23" t="s">
        <v>32</v>
      </c>
    </row>
    <row r="44" customFormat="false" ht="15" hidden="false" customHeight="false" outlineLevel="0" collapsed="false">
      <c r="A44" s="23" t="s">
        <v>33</v>
      </c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H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2"/>
    <col collapsed="false" customWidth="true" hidden="false" outlineLevel="0" max="3" min="3" style="0" width="20"/>
    <col collapsed="false" customWidth="true" hidden="false" outlineLevel="0" max="5" min="4" style="0" width="18"/>
    <col collapsed="false" customWidth="true" hidden="false" outlineLevel="0" max="7" min="6" style="0" width="14"/>
    <col collapsed="false" customWidth="true" hidden="false" outlineLevel="0" max="8" min="8" style="0" width="48"/>
  </cols>
  <sheetData>
    <row r="1" customFormat="false" ht="30" hidden="false" customHeight="true" outlineLevel="0" collapsed="false">
      <c r="A1" s="24" t="s">
        <v>34</v>
      </c>
      <c r="B1" s="24"/>
      <c r="C1" s="24"/>
      <c r="D1" s="24"/>
      <c r="E1" s="24"/>
      <c r="F1" s="24"/>
      <c r="G1" s="24"/>
      <c r="H1" s="24"/>
    </row>
    <row r="2" customFormat="false" ht="18" hidden="false" customHeight="true" outlineLevel="0" collapsed="false">
      <c r="A2" s="25" t="s">
        <v>35</v>
      </c>
      <c r="B2" s="25"/>
      <c r="C2" s="25"/>
      <c r="D2" s="25"/>
      <c r="E2" s="25"/>
      <c r="F2" s="25"/>
      <c r="G2" s="25"/>
      <c r="H2" s="25"/>
    </row>
    <row r="4" customFormat="false" ht="21.75" hidden="false" customHeight="true" outlineLevel="0" collapsed="false">
      <c r="A4" s="26" t="s">
        <v>36</v>
      </c>
      <c r="B4" s="27" t="s">
        <v>37</v>
      </c>
      <c r="C4" s="27" t="s">
        <v>7</v>
      </c>
      <c r="D4" s="27" t="s">
        <v>38</v>
      </c>
      <c r="E4" s="27" t="s">
        <v>10</v>
      </c>
      <c r="F4" s="27" t="s">
        <v>39</v>
      </c>
      <c r="G4" s="27" t="s">
        <v>40</v>
      </c>
      <c r="H4" s="27" t="s">
        <v>41</v>
      </c>
    </row>
    <row r="5" customFormat="false" ht="23.85" hidden="false" customHeight="false" outlineLevel="0" collapsed="false">
      <c r="A5" s="28" t="s">
        <v>42</v>
      </c>
      <c r="B5" s="29" t="s">
        <v>43</v>
      </c>
      <c r="C5" s="30" t="s">
        <v>4</v>
      </c>
      <c r="D5" s="31" t="s">
        <v>14</v>
      </c>
      <c r="E5" s="32" t="s">
        <v>14</v>
      </c>
      <c r="F5" s="31" t="s">
        <v>44</v>
      </c>
      <c r="G5" s="33" t="n">
        <v>0</v>
      </c>
      <c r="H5" s="34" t="s">
        <v>45</v>
      </c>
    </row>
    <row r="6" customFormat="false" ht="15" hidden="false" customHeight="false" outlineLevel="0" collapsed="false">
      <c r="A6" s="35" t="s">
        <v>46</v>
      </c>
      <c r="B6" s="36"/>
      <c r="C6" s="36"/>
      <c r="D6" s="36"/>
      <c r="E6" s="36"/>
      <c r="F6" s="36"/>
      <c r="G6" s="37" t="n">
        <f aca="false">SUM(G5:G5)</f>
        <v>0</v>
      </c>
      <c r="H6" s="36"/>
    </row>
  </sheetData>
  <autoFilter ref="A4:H5"/>
  <mergeCells count="2">
    <mergeCell ref="A1:H1"/>
    <mergeCell ref="A2:H2"/>
  </mergeCells>
  <hyperlinks>
    <hyperlink ref="A5" r:id="rId1" display="IP-301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9C3"/>
    <pageSetUpPr fitToPage="true"/>
  </sheetPr>
  <dimension ref="A1:H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2"/>
    <col collapsed="false" customWidth="true" hidden="false" outlineLevel="0" max="3" min="3" style="0" width="20"/>
    <col collapsed="false" customWidth="true" hidden="false" outlineLevel="0" max="5" min="4" style="0" width="18"/>
    <col collapsed="false" customWidth="true" hidden="false" outlineLevel="0" max="7" min="6" style="0" width="14"/>
    <col collapsed="false" customWidth="true" hidden="false" outlineLevel="0" max="8" min="8" style="0" width="48"/>
  </cols>
  <sheetData>
    <row r="1" customFormat="false" ht="30" hidden="false" customHeight="true" outlineLevel="0" collapsed="false">
      <c r="A1" s="38" t="s">
        <v>47</v>
      </c>
      <c r="B1" s="38"/>
      <c r="C1" s="38"/>
      <c r="D1" s="38"/>
      <c r="E1" s="38"/>
      <c r="F1" s="38"/>
      <c r="G1" s="38"/>
      <c r="H1" s="38"/>
    </row>
    <row r="2" customFormat="false" ht="18" hidden="false" customHeight="true" outlineLevel="0" collapsed="false">
      <c r="A2" s="39" t="s">
        <v>48</v>
      </c>
      <c r="B2" s="39"/>
      <c r="C2" s="39"/>
      <c r="D2" s="39"/>
      <c r="E2" s="39"/>
      <c r="F2" s="39"/>
      <c r="G2" s="39"/>
      <c r="H2" s="39"/>
    </row>
    <row r="4" customFormat="false" ht="21.75" hidden="false" customHeight="true" outlineLevel="0" collapsed="false">
      <c r="A4" s="26" t="s">
        <v>36</v>
      </c>
      <c r="B4" s="27" t="s">
        <v>37</v>
      </c>
      <c r="C4" s="27" t="s">
        <v>7</v>
      </c>
      <c r="D4" s="27" t="s">
        <v>38</v>
      </c>
      <c r="E4" s="27" t="s">
        <v>10</v>
      </c>
      <c r="F4" s="27" t="s">
        <v>39</v>
      </c>
      <c r="G4" s="27" t="s">
        <v>40</v>
      </c>
      <c r="H4" s="27" t="s">
        <v>41</v>
      </c>
    </row>
    <row r="5" customFormat="false" ht="15" hidden="false" customHeight="false" outlineLevel="0" collapsed="false">
      <c r="A5" s="28" t="s">
        <v>49</v>
      </c>
      <c r="B5" s="29" t="s">
        <v>50</v>
      </c>
      <c r="C5" s="40" t="s">
        <v>3</v>
      </c>
      <c r="D5" s="31" t="s">
        <v>51</v>
      </c>
      <c r="E5" s="41" t="s">
        <v>24</v>
      </c>
      <c r="F5" s="31" t="s">
        <v>52</v>
      </c>
      <c r="G5" s="42" t="n">
        <v>13</v>
      </c>
      <c r="H5" s="34" t="s">
        <v>53</v>
      </c>
    </row>
    <row r="6" customFormat="false" ht="15" hidden="false" customHeight="false" outlineLevel="0" collapsed="false">
      <c r="A6" s="43" t="s">
        <v>54</v>
      </c>
      <c r="B6" s="44" t="s">
        <v>55</v>
      </c>
      <c r="C6" s="40" t="s">
        <v>3</v>
      </c>
      <c r="D6" s="45" t="s">
        <v>56</v>
      </c>
      <c r="E6" s="45" t="s">
        <v>17</v>
      </c>
      <c r="F6" s="45" t="s">
        <v>57</v>
      </c>
      <c r="G6" s="46" t="n">
        <v>0</v>
      </c>
      <c r="H6" s="47" t="s">
        <v>58</v>
      </c>
    </row>
    <row r="7" customFormat="false" ht="15" hidden="false" customHeight="false" outlineLevel="0" collapsed="false">
      <c r="A7" s="28" t="s">
        <v>59</v>
      </c>
      <c r="B7" s="29" t="s">
        <v>60</v>
      </c>
      <c r="C7" s="40" t="s">
        <v>3</v>
      </c>
      <c r="D7" s="31" t="s">
        <v>56</v>
      </c>
      <c r="E7" s="31" t="s">
        <v>18</v>
      </c>
      <c r="F7" s="31" t="s">
        <v>61</v>
      </c>
      <c r="G7" s="33" t="n">
        <v>0</v>
      </c>
      <c r="H7" s="34" t="s">
        <v>62</v>
      </c>
    </row>
    <row r="8" customFormat="false" ht="15" hidden="false" customHeight="false" outlineLevel="0" collapsed="false">
      <c r="A8" s="43" t="s">
        <v>63</v>
      </c>
      <c r="B8" s="44" t="s">
        <v>64</v>
      </c>
      <c r="C8" s="40" t="s">
        <v>3</v>
      </c>
      <c r="D8" s="45" t="s">
        <v>56</v>
      </c>
      <c r="E8" s="45" t="s">
        <v>19</v>
      </c>
      <c r="F8" s="45" t="s">
        <v>65</v>
      </c>
      <c r="G8" s="46" t="n">
        <v>0</v>
      </c>
      <c r="H8" s="47" t="s">
        <v>66</v>
      </c>
    </row>
    <row r="9" customFormat="false" ht="15" hidden="false" customHeight="false" outlineLevel="0" collapsed="false">
      <c r="A9" s="28" t="s">
        <v>67</v>
      </c>
      <c r="B9" s="29" t="s">
        <v>68</v>
      </c>
      <c r="C9" s="40" t="s">
        <v>3</v>
      </c>
      <c r="D9" s="31" t="s">
        <v>51</v>
      </c>
      <c r="E9" s="31" t="s">
        <v>20</v>
      </c>
      <c r="F9" s="31" t="s">
        <v>69</v>
      </c>
      <c r="G9" s="42" t="n">
        <v>21</v>
      </c>
      <c r="H9" s="34" t="s">
        <v>70</v>
      </c>
    </row>
    <row r="10" customFormat="false" ht="15" hidden="false" customHeight="false" outlineLevel="0" collapsed="false">
      <c r="A10" s="43" t="s">
        <v>71</v>
      </c>
      <c r="B10" s="44" t="s">
        <v>72</v>
      </c>
      <c r="C10" s="40" t="s">
        <v>3</v>
      </c>
      <c r="D10" s="45" t="s">
        <v>51</v>
      </c>
      <c r="E10" s="45" t="s">
        <v>21</v>
      </c>
      <c r="F10" s="45" t="s">
        <v>69</v>
      </c>
      <c r="G10" s="48" t="n">
        <v>5</v>
      </c>
      <c r="H10" s="47" t="s">
        <v>73</v>
      </c>
    </row>
    <row r="11" customFormat="false" ht="15" hidden="false" customHeight="false" outlineLevel="0" collapsed="false">
      <c r="A11" s="28" t="s">
        <v>74</v>
      </c>
      <c r="B11" s="29" t="s">
        <v>75</v>
      </c>
      <c r="C11" s="40" t="s">
        <v>3</v>
      </c>
      <c r="D11" s="31" t="s">
        <v>23</v>
      </c>
      <c r="E11" s="31" t="s">
        <v>23</v>
      </c>
      <c r="F11" s="31" t="s">
        <v>76</v>
      </c>
      <c r="G11" s="42" t="n">
        <v>1</v>
      </c>
      <c r="H11" s="34" t="s">
        <v>77</v>
      </c>
    </row>
    <row r="12" customFormat="false" ht="15" hidden="false" customHeight="false" outlineLevel="0" collapsed="false">
      <c r="A12" s="43" t="s">
        <v>78</v>
      </c>
      <c r="B12" s="44" t="s">
        <v>79</v>
      </c>
      <c r="C12" s="40" t="s">
        <v>3</v>
      </c>
      <c r="D12" s="45" t="s">
        <v>80</v>
      </c>
      <c r="E12" s="45" t="s">
        <v>22</v>
      </c>
      <c r="F12" s="45" t="s">
        <v>81</v>
      </c>
      <c r="G12" s="46" t="n">
        <v>0</v>
      </c>
      <c r="H12" s="47" t="s">
        <v>82</v>
      </c>
    </row>
    <row r="13" customFormat="false" ht="23.85" hidden="false" customHeight="false" outlineLevel="0" collapsed="false">
      <c r="A13" s="28" t="s">
        <v>83</v>
      </c>
      <c r="B13" s="29" t="s">
        <v>84</v>
      </c>
      <c r="C13" s="40" t="s">
        <v>3</v>
      </c>
      <c r="D13" s="31" t="s">
        <v>22</v>
      </c>
      <c r="E13" s="31" t="s">
        <v>22</v>
      </c>
      <c r="F13" s="31" t="s">
        <v>85</v>
      </c>
      <c r="G13" s="33" t="n">
        <v>0</v>
      </c>
      <c r="H13" s="34" t="s">
        <v>86</v>
      </c>
    </row>
    <row r="14" customFormat="false" ht="23.85" hidden="false" customHeight="false" outlineLevel="0" collapsed="false">
      <c r="A14" s="43" t="s">
        <v>87</v>
      </c>
      <c r="B14" s="44" t="s">
        <v>88</v>
      </c>
      <c r="C14" s="40" t="s">
        <v>3</v>
      </c>
      <c r="D14" s="45" t="s">
        <v>22</v>
      </c>
      <c r="E14" s="45" t="s">
        <v>22</v>
      </c>
      <c r="F14" s="45" t="s">
        <v>89</v>
      </c>
      <c r="G14" s="46" t="n">
        <v>0</v>
      </c>
      <c r="H14" s="47" t="s">
        <v>90</v>
      </c>
    </row>
    <row r="15" customFormat="false" ht="23.85" hidden="false" customHeight="false" outlineLevel="0" collapsed="false">
      <c r="A15" s="28" t="s">
        <v>91</v>
      </c>
      <c r="B15" s="29" t="s">
        <v>92</v>
      </c>
      <c r="C15" s="40" t="s">
        <v>3</v>
      </c>
      <c r="D15" s="31" t="s">
        <v>22</v>
      </c>
      <c r="E15" s="31" t="s">
        <v>22</v>
      </c>
      <c r="F15" s="31" t="s">
        <v>85</v>
      </c>
      <c r="G15" s="33" t="n">
        <v>0</v>
      </c>
      <c r="H15" s="34" t="s">
        <v>86</v>
      </c>
    </row>
    <row r="16" customFormat="false" ht="23.85" hidden="false" customHeight="false" outlineLevel="0" collapsed="false">
      <c r="A16" s="43" t="s">
        <v>93</v>
      </c>
      <c r="B16" s="44" t="s">
        <v>94</v>
      </c>
      <c r="C16" s="40" t="s">
        <v>3</v>
      </c>
      <c r="D16" s="45" t="s">
        <v>22</v>
      </c>
      <c r="E16" s="45" t="s">
        <v>22</v>
      </c>
      <c r="F16" s="45" t="s">
        <v>95</v>
      </c>
      <c r="G16" s="46" t="n">
        <v>0</v>
      </c>
      <c r="H16" s="47" t="s">
        <v>96</v>
      </c>
    </row>
    <row r="17" customFormat="false" ht="23.85" hidden="false" customHeight="false" outlineLevel="0" collapsed="false">
      <c r="A17" s="28" t="s">
        <v>97</v>
      </c>
      <c r="B17" s="29" t="s">
        <v>98</v>
      </c>
      <c r="C17" s="30" t="s">
        <v>4</v>
      </c>
      <c r="D17" s="31" t="s">
        <v>99</v>
      </c>
      <c r="E17" s="31" t="s">
        <v>15</v>
      </c>
      <c r="F17" s="31" t="s">
        <v>100</v>
      </c>
      <c r="G17" s="33" t="n">
        <v>0</v>
      </c>
      <c r="H17" s="34" t="s">
        <v>101</v>
      </c>
    </row>
    <row r="18" customFormat="false" ht="15" hidden="false" customHeight="false" outlineLevel="0" collapsed="false">
      <c r="A18" s="43" t="s">
        <v>102</v>
      </c>
      <c r="B18" s="44" t="s">
        <v>103</v>
      </c>
      <c r="C18" s="30" t="s">
        <v>4</v>
      </c>
      <c r="D18" s="45" t="s">
        <v>56</v>
      </c>
      <c r="E18" s="49" t="s">
        <v>24</v>
      </c>
      <c r="F18" s="45" t="s">
        <v>104</v>
      </c>
      <c r="G18" s="46" t="n">
        <v>0</v>
      </c>
      <c r="H18" s="47" t="s">
        <v>105</v>
      </c>
    </row>
    <row r="19" customFormat="false" ht="15" hidden="false" customHeight="false" outlineLevel="0" collapsed="false">
      <c r="A19" s="28" t="s">
        <v>106</v>
      </c>
      <c r="B19" s="29" t="s">
        <v>107</v>
      </c>
      <c r="C19" s="30" t="s">
        <v>4</v>
      </c>
      <c r="D19" s="31" t="s">
        <v>56</v>
      </c>
      <c r="E19" s="31" t="s">
        <v>19</v>
      </c>
      <c r="F19" s="31" t="s">
        <v>104</v>
      </c>
      <c r="G19" s="33" t="n">
        <v>0</v>
      </c>
      <c r="H19" s="34" t="s">
        <v>105</v>
      </c>
    </row>
    <row r="20" customFormat="false" ht="15" hidden="false" customHeight="false" outlineLevel="0" collapsed="false">
      <c r="A20" s="35" t="s">
        <v>46</v>
      </c>
      <c r="B20" s="36"/>
      <c r="C20" s="36"/>
      <c r="D20" s="36"/>
      <c r="E20" s="36"/>
      <c r="F20" s="36"/>
      <c r="G20" s="37" t="n">
        <f aca="false">SUM(G5:G19)</f>
        <v>40</v>
      </c>
      <c r="H20" s="36"/>
    </row>
  </sheetData>
  <autoFilter ref="A4:H19"/>
  <mergeCells count="2">
    <mergeCell ref="A1:H1"/>
    <mergeCell ref="A2:H2"/>
  </mergeCells>
  <hyperlinks>
    <hyperlink ref="A5" r:id="rId1" display="MEG-18805"/>
    <hyperlink ref="A6" r:id="rId2" display="MEG-19584"/>
    <hyperlink ref="A7" r:id="rId3" display="MEG-19591"/>
    <hyperlink ref="A8" r:id="rId4" display="MEG-19723"/>
    <hyperlink ref="A9" r:id="rId5" display="MEG-20107"/>
    <hyperlink ref="A10" r:id="rId6" display="MEG-20258"/>
    <hyperlink ref="A11" r:id="rId7" display="MEG-20651"/>
    <hyperlink ref="A12" r:id="rId8" display="STAR-1688"/>
    <hyperlink ref="A13" r:id="rId9" display="STAR-1692"/>
    <hyperlink ref="A14" r:id="rId10" display="STAR-1693"/>
    <hyperlink ref="A15" r:id="rId11" display="STAR-1694"/>
    <hyperlink ref="A16" r:id="rId12" display="STAR-1695"/>
    <hyperlink ref="A17" r:id="rId13" display="IP-1793"/>
    <hyperlink ref="A18" r:id="rId14" display="MEG-19721"/>
    <hyperlink ref="A19" r:id="rId15" display="MEG-1972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4748B"/>
    <pageSetUpPr fitToPage="true"/>
  </sheetPr>
  <dimension ref="A1:H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2"/>
    <col collapsed="false" customWidth="true" hidden="false" outlineLevel="0" max="3" min="3" style="0" width="20"/>
    <col collapsed="false" customWidth="true" hidden="false" outlineLevel="0" max="5" min="4" style="0" width="18"/>
    <col collapsed="false" customWidth="true" hidden="false" outlineLevel="0" max="7" min="6" style="0" width="14"/>
    <col collapsed="false" customWidth="true" hidden="false" outlineLevel="0" max="8" min="8" style="0" width="48"/>
  </cols>
  <sheetData>
    <row r="1" customFormat="false" ht="30" hidden="false" customHeight="true" outlineLevel="0" collapsed="false">
      <c r="A1" s="50" t="s">
        <v>108</v>
      </c>
      <c r="B1" s="50"/>
      <c r="C1" s="50"/>
      <c r="D1" s="50"/>
      <c r="E1" s="50"/>
      <c r="F1" s="50"/>
      <c r="G1" s="50"/>
      <c r="H1" s="50"/>
    </row>
    <row r="2" customFormat="false" ht="18" hidden="false" customHeight="true" outlineLevel="0" collapsed="false">
      <c r="A2" s="51" t="s">
        <v>109</v>
      </c>
      <c r="B2" s="51"/>
      <c r="C2" s="51"/>
      <c r="D2" s="51"/>
      <c r="E2" s="51"/>
      <c r="F2" s="51"/>
      <c r="G2" s="51"/>
      <c r="H2" s="51"/>
    </row>
    <row r="4" customFormat="false" ht="21.75" hidden="false" customHeight="true" outlineLevel="0" collapsed="false">
      <c r="A4" s="26" t="s">
        <v>36</v>
      </c>
      <c r="B4" s="27" t="s">
        <v>37</v>
      </c>
      <c r="C4" s="27" t="s">
        <v>7</v>
      </c>
      <c r="D4" s="27" t="s">
        <v>38</v>
      </c>
      <c r="E4" s="27" t="s">
        <v>10</v>
      </c>
      <c r="F4" s="27" t="s">
        <v>39</v>
      </c>
      <c r="G4" s="27" t="s">
        <v>40</v>
      </c>
      <c r="H4" s="27" t="s">
        <v>41</v>
      </c>
    </row>
    <row r="5" customFormat="false" ht="23.85" hidden="false" customHeight="false" outlineLevel="0" collapsed="false">
      <c r="A5" s="28" t="s">
        <v>110</v>
      </c>
      <c r="B5" s="29" t="s">
        <v>111</v>
      </c>
      <c r="C5" s="40" t="s">
        <v>3</v>
      </c>
      <c r="D5" s="31" t="s">
        <v>112</v>
      </c>
      <c r="E5" s="31" t="s">
        <v>112</v>
      </c>
      <c r="F5" s="31" t="s">
        <v>44</v>
      </c>
      <c r="G5" s="33" t="n">
        <v>0</v>
      </c>
      <c r="H5" s="34" t="s">
        <v>113</v>
      </c>
    </row>
    <row r="6" customFormat="false" ht="23.85" hidden="false" customHeight="false" outlineLevel="0" collapsed="false">
      <c r="A6" s="43" t="s">
        <v>114</v>
      </c>
      <c r="B6" s="44" t="s">
        <v>115</v>
      </c>
      <c r="C6" s="40" t="s">
        <v>3</v>
      </c>
      <c r="D6" s="45" t="s">
        <v>112</v>
      </c>
      <c r="E6" s="45" t="s">
        <v>112</v>
      </c>
      <c r="F6" s="45" t="s">
        <v>44</v>
      </c>
      <c r="G6" s="46" t="n">
        <v>0</v>
      </c>
      <c r="H6" s="47" t="s">
        <v>116</v>
      </c>
    </row>
    <row r="7" customFormat="false" ht="23.85" hidden="false" customHeight="false" outlineLevel="0" collapsed="false">
      <c r="A7" s="28" t="s">
        <v>117</v>
      </c>
      <c r="B7" s="29" t="s">
        <v>118</v>
      </c>
      <c r="C7" s="40" t="s">
        <v>3</v>
      </c>
      <c r="D7" s="31" t="s">
        <v>112</v>
      </c>
      <c r="E7" s="31" t="s">
        <v>112</v>
      </c>
      <c r="F7" s="31" t="s">
        <v>44</v>
      </c>
      <c r="G7" s="33" t="n">
        <v>0</v>
      </c>
      <c r="H7" s="34" t="s">
        <v>119</v>
      </c>
    </row>
    <row r="8" customFormat="false" ht="15" hidden="false" customHeight="false" outlineLevel="0" collapsed="false">
      <c r="A8" s="35" t="s">
        <v>46</v>
      </c>
      <c r="B8" s="36"/>
      <c r="C8" s="36"/>
      <c r="D8" s="36"/>
      <c r="E8" s="36"/>
      <c r="F8" s="36"/>
      <c r="G8" s="37" t="n">
        <f aca="false">SUM(G5:G7)</f>
        <v>0</v>
      </c>
      <c r="H8" s="36"/>
    </row>
  </sheetData>
  <autoFilter ref="A4:H7"/>
  <mergeCells count="2">
    <mergeCell ref="A1:H1"/>
    <mergeCell ref="A2:H2"/>
  </mergeCells>
  <hyperlinks>
    <hyperlink ref="A5" r:id="rId1" display="CBT-137"/>
    <hyperlink ref="A6" r:id="rId2" display="CBT-85"/>
    <hyperlink ref="A7" r:id="rId3" display="CBT-9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2026-10-14T20:45:25Z</dcterms:created>
  <dc:creator>openpyxl</dc:creator>
  <dc:description/>
  <dc:language>en-US</dc:language>
  <cp:lastModifiedBy/>
  <dcterms:modified xsi:type="dcterms:W3CDTF">2026-10-14T20:45:28Z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