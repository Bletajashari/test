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d Pod" sheetId="2" state="visible" r:id="rId4"/>
    <sheet name="Other FINRA" sheetId="3" state="visible" r:id="rId5"/>
    <sheet name="For Review" sheetId="4" state="visible" r:id="rId6"/>
  </sheets>
  <definedNames>
    <definedName function="false" hidden="false" localSheetId="3" name="_xlnm.Print_Titles" vbProcedure="false">'For Review'!$4:$4</definedName>
    <definedName function="false" hidden="true" localSheetId="3" name="_xlnm._FilterDatabase" vbProcedure="false">'For Review'!$A$4:$H$8</definedName>
    <definedName function="false" hidden="false" localSheetId="2" name="_xlnm.Print_Titles" vbProcedure="false">'Other FINRA'!$4:$4</definedName>
    <definedName function="false" hidden="true" localSheetId="2" name="_xlnm._FilterDatabase" vbProcedure="false">'Other FINRA'!$A$4:$H$133</definedName>
    <definedName function="false" hidden="false" localSheetId="1" name="_xlnm.Print_Titles" vbProcedure="false">'Prod Pod'!$4:$4</definedName>
    <definedName function="false" hidden="true" localSheetId="1" name="_xlnm._FilterDatabase" vbProcedure="false">'Prod Pod'!$A$4:$H$6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<sst xmlns="http://schemas.openxmlformats.org/spreadsheetml/2006/main" count="1036" uniqueCount="480">
  <si>
    <t xml:space="preserve">FINRA — Open Work Report</t>
  </si>
  <si>
    <t xml:space="preserve">Jira (megatron) · as of 14 Oct 2026 · In Progress, Needs Analysis, To Do</t>
  </si>
  <si>
    <t xml:space="preserve">Open FINRA tickets</t>
  </si>
  <si>
    <t xml:space="preserve">In Progress</t>
  </si>
  <si>
    <t xml:space="preserve">Needs Analysis</t>
  </si>
  <si>
    <t xml:space="preserve">To Do</t>
  </si>
  <si>
    <t xml:space="preserve">Prod Pod</t>
  </si>
  <si>
    <t xml:space="preserve">Hours logged</t>
  </si>
  <si>
    <t xml:space="preserve">Status</t>
  </si>
  <si>
    <t xml:space="preserve">Other FINRA</t>
  </si>
  <si>
    <t xml:space="preserve">Total</t>
  </si>
  <si>
    <t xml:space="preserve">Assignee</t>
  </si>
  <si>
    <t xml:space="preserve">Tickets</t>
  </si>
  <si>
    <t xml:space="preserve">Team</t>
  </si>
  <si>
    <t xml:space="preserve">Hours</t>
  </si>
  <si>
    <t xml:space="preserve">Shibi Ramaiyan</t>
  </si>
  <si>
    <t xml:space="preserve">Abiola Banjoko</t>
  </si>
  <si>
    <t xml:space="preserve">Other</t>
  </si>
  <si>
    <t xml:space="preserve">Bleta Jashari</t>
  </si>
  <si>
    <t xml:space="preserve">Corinne Tighe</t>
  </si>
  <si>
    <t xml:space="preserve">Dalvinder Grewal</t>
  </si>
  <si>
    <t xml:space="preserve">James Simmons</t>
  </si>
  <si>
    <t xml:space="preserve">Mansi Chadha</t>
  </si>
  <si>
    <t xml:space="preserve">Milan Dusara</t>
  </si>
  <si>
    <t xml:space="preserve">Mitali Bhavsar</t>
  </si>
  <si>
    <t xml:space="preserve">Pavan Vemunuri</t>
  </si>
  <si>
    <t xml:space="preserve">Prabhjot Singh</t>
  </si>
  <si>
    <t xml:space="preserve">Rohith Kunnilethu</t>
  </si>
  <si>
    <t xml:space="preserve">Ryo Poc</t>
  </si>
  <si>
    <t xml:space="preserve">Sanchivan Sivadasan</t>
  </si>
  <si>
    <t xml:space="preserve">Satwinder Randhawa</t>
  </si>
  <si>
    <t xml:space="preserve">Thiva Varatharajah</t>
  </si>
  <si>
    <t xml:space="preserve">Timothy Chiang</t>
  </si>
  <si>
    <t xml:space="preserve">Unassigned</t>
  </si>
  <si>
    <t xml:space="preserve">How tickets were selected</t>
  </si>
  <si>
    <t xml:space="preserve">• Current status is In Progress, Needs Analysis or To Do.</t>
  </si>
  <si>
    <t xml:space="preserve">• Client field = FINRA, “FINRA” or the “FIN -” project prefix in the title, or a FINRA / “FIN -” parent ticket; titles, descriptions and comments were all searched.</t>
  </si>
  <si>
    <t xml:space="preserve">• Prod Pod = tickets assigned to Shibi Ramaiyan or Yetunde Sanusi.</t>
  </si>
  <si>
    <t xml:space="preserve">• Notes flag tickets with no update in over 90 days, multi-client tickets and subtasks.</t>
  </si>
  <si>
    <t xml:space="preserve">• The ‘For Review’ tab lists 4 multi-client tickets not counted: 3 ETL 2.0 pilot tickets and IR-907 (reporting issue across 10 clients).</t>
  </si>
  <si>
    <t xml:space="preserve">• Not counted: CR-489 (DEL), MEG-33053, MEG-21407 and MEG-28712 (Block/BMO) and MEG-24951 (cancelled GBC clone), which only mention FINRA or FIN in passing.</t>
  </si>
  <si>
    <t xml:space="preserve">• Hours Logged is the total time logged on each ticket in Jira, all time, including subtasks. Epics count only their own time; child-ticket hours are in the Notes column so nothing is counted twice.</t>
  </si>
  <si>
    <t xml:space="preserve">• Last Updated is the ticket's last-updated date in Jira. Totals are live formulas over the Prod Pod and Other FINRA tabs.</t>
  </si>
  <si>
    <t xml:space="preserve">Prod Pod — FINRA Open Work</t>
  </si>
  <si>
    <t xml:space="preserve">Assignee: Shibi Ramaiyan or Yetunde Sanusi · as of 14 Oct 2026</t>
  </si>
  <si>
    <t xml:space="preserve">Ticket</t>
  </si>
  <si>
    <t xml:space="preserve">Summary</t>
  </si>
  <si>
    <t xml:space="preserve">Reporter</t>
  </si>
  <si>
    <t xml:space="preserve">Last Updated</t>
  </si>
  <si>
    <t xml:space="preserve">Hours Logged</t>
  </si>
  <si>
    <t xml:space="preserve">Notes</t>
  </si>
  <si>
    <t xml:space="preserve">IP-3012</t>
  </si>
  <si>
    <t xml:space="preserve">Upgrade the Microsoft Office 365 authentication method for Einstein Activity Capture</t>
  </si>
  <si>
    <t xml:space="preserve">2026-10-13</t>
  </si>
  <si>
    <t xml:space="preserve">Multi-client: Client field = Breakthru, FINRA, Anaplan, OPS</t>
  </si>
  <si>
    <t xml:space="preserve">IP-2856</t>
  </si>
  <si>
    <t xml:space="preserve">FINRA: Financial Approver Visibility</t>
  </si>
  <si>
    <t xml:space="preserve">Darci Frye</t>
  </si>
  <si>
    <t xml:space="preserve">2026-10-14</t>
  </si>
  <si>
    <t xml:space="preserve">Total hours logged</t>
  </si>
  <si>
    <t xml:space="preserve">Other FINRA Open Work</t>
  </si>
  <si>
    <t xml:space="preserve">All remaining open FINRA tickets, including unassigned · as of 14 Oct 2026</t>
  </si>
  <si>
    <t xml:space="preserve">MEG-18805</t>
  </si>
  <si>
    <t xml:space="preserve">FIN - Discovery</t>
  </si>
  <si>
    <t xml:space="preserve">Ryan Quesnel</t>
  </si>
  <si>
    <t xml:space="preserve">2025-03-05</t>
  </si>
  <si>
    <t xml:space="preserve">Hours include child tickets · No update in 588 days</t>
  </si>
  <si>
    <t xml:space="preserve">MEG-19584</t>
  </si>
  <si>
    <t xml:space="preserve">FIN - Data Migration / Load Sheets (PROD) - Business Validation</t>
  </si>
  <si>
    <t xml:space="preserve">David Kong</t>
  </si>
  <si>
    <t xml:space="preserve">2025-06-18</t>
  </si>
  <si>
    <t xml:space="preserve">No update in 483 days</t>
  </si>
  <si>
    <t xml:space="preserve">MEG-19591</t>
  </si>
  <si>
    <t xml:space="preserve">FIN - Data Migration / Load Sheets (PROD) - Dev Uploads</t>
  </si>
  <si>
    <t xml:space="preserve">2025-04-29</t>
  </si>
  <si>
    <t xml:space="preserve">No update in 533 days</t>
  </si>
  <si>
    <t xml:space="preserve">MEG-19723</t>
  </si>
  <si>
    <t xml:space="preserve">FIN - SIT &amp; Regression Testing (Test/Staging) - QA</t>
  </si>
  <si>
    <t xml:space="preserve">2025-05-14</t>
  </si>
  <si>
    <t xml:space="preserve">No update in 518 days</t>
  </si>
  <si>
    <t xml:space="preserve">MEG-19851</t>
  </si>
  <si>
    <t xml:space="preserve">PH-To Test Auto-calculate OT rates on Engagement Assignment and on Convert to Engagement</t>
  </si>
  <si>
    <t xml:space="preserve">Suman Dsa</t>
  </si>
  <si>
    <t xml:space="preserve">2025-12-01</t>
  </si>
  <si>
    <t xml:space="preserve">QA test · Under MEG-20726 FIN-QA Testing · No update in 317 days</t>
  </si>
  <si>
    <t xml:space="preserve">MEG-19852</t>
  </si>
  <si>
    <t xml:space="preserve">PH- To Test if Users are prevented from cloning Vendor Sourced Or Payroll, Engagement Assignments</t>
  </si>
  <si>
    <t xml:space="preserve">MEG-19853</t>
  </si>
  <si>
    <t xml:space="preserve">PH- To Test view/edit access of users (VMO MSP, HM and Suppliers) on Rate object on assignment</t>
  </si>
  <si>
    <t xml:space="preserve">MEG-19938</t>
  </si>
  <si>
    <t xml:space="preserve">ASSUMPTION - Master Data Files sync'ing daily</t>
  </si>
  <si>
    <t xml:space="preserve">2025-07-10</t>
  </si>
  <si>
    <t xml:space="preserve">Under MEG-18947 FIN - PROD Cutover Activities · No update in 461 days</t>
  </si>
  <si>
    <t xml:space="preserve">MEG-20014</t>
  </si>
  <si>
    <t xml:space="preserve">To test Clone Engagement Assignment - HeadCount Assignments</t>
  </si>
  <si>
    <t xml:space="preserve">MEG-20019</t>
  </si>
  <si>
    <t xml:space="preserve">To test Clone Engagement Assignment  -  Clone Assignments</t>
  </si>
  <si>
    <t xml:space="preserve">2025-12-03</t>
  </si>
  <si>
    <t xml:space="preserve">QA test · Under MEG-20726 FIN-QA Testing · No update in 315 days</t>
  </si>
  <si>
    <t xml:space="preserve">MEG-20027</t>
  </si>
  <si>
    <t xml:space="preserve">To test Create Rate and Set Rate as Primary rate.</t>
  </si>
  <si>
    <t xml:space="preserve">MEG-20107</t>
  </si>
  <si>
    <t xml:space="preserve">FIN - Setup DevOps Pipeline (to QA/FULL)</t>
  </si>
  <si>
    <t xml:space="preserve">2025-04-04</t>
  </si>
  <si>
    <t xml:space="preserve">Hours include child tickets · No update in 558 days</t>
  </si>
  <si>
    <t xml:space="preserve">MEG-20258</t>
  </si>
  <si>
    <t xml:space="preserve">Provision API Access to Client</t>
  </si>
  <si>
    <t xml:space="preserve">Under MEG-19265 FIN - Client Training &amp; Support of API · No update in 558 days</t>
  </si>
  <si>
    <t xml:space="preserve">MEG-20651</t>
  </si>
  <si>
    <t xml:space="preserve">FIN - Integration Connectivity Instructions</t>
  </si>
  <si>
    <t xml:space="preserve">2025-05-20</t>
  </si>
  <si>
    <t xml:space="preserve">No update in 512 days</t>
  </si>
  <si>
    <t xml:space="preserve">STAR-1688</t>
  </si>
  <si>
    <t xml:space="preserve">FINRA Report/Dashboard prep</t>
  </si>
  <si>
    <t xml:space="preserve">Beth Bruder</t>
  </si>
  <si>
    <t xml:space="preserve">2025-07-03</t>
  </si>
  <si>
    <t xml:space="preserve">No update in 468 days</t>
  </si>
  <si>
    <t xml:space="preserve">STAR-1692</t>
  </si>
  <si>
    <t xml:space="preserve">“Starts” dashboard</t>
  </si>
  <si>
    <t xml:space="preserve">2025-06-16</t>
  </si>
  <si>
    <t xml:space="preserve">Under STAR-1688 FINRA Report/Dashboard prep · No update in 485 days</t>
  </si>
  <si>
    <t xml:space="preserve">STAR-1693</t>
  </si>
  <si>
    <t xml:space="preserve">“Ends” dashboard</t>
  </si>
  <si>
    <t xml:space="preserve">2025-06-17</t>
  </si>
  <si>
    <t xml:space="preserve">Under STAR-1688 FINRA Report/Dashboard prep · No update in 484 days</t>
  </si>
  <si>
    <t xml:space="preserve">STAR-1694</t>
  </si>
  <si>
    <t xml:space="preserve">Supplier Performance dashboard</t>
  </si>
  <si>
    <t xml:space="preserve">STAR-1695</t>
  </si>
  <si>
    <t xml:space="preserve">Location tracking</t>
  </si>
  <si>
    <t xml:space="preserve">2025-06-10</t>
  </si>
  <si>
    <t xml:space="preserve">Under STAR-1688 FINRA Report/Dashboard prep · No update in 491 days</t>
  </si>
  <si>
    <t xml:space="preserve">IP-1793</t>
  </si>
  <si>
    <t xml:space="preserve">FINRA - Managers receiving Approval Emails even though approval is not in their queue</t>
  </si>
  <si>
    <t xml:space="preserve">2025-10-14</t>
  </si>
  <si>
    <t xml:space="preserve">No update in 365 days</t>
  </si>
  <si>
    <t xml:space="preserve">MEG-19721</t>
  </si>
  <si>
    <t xml:space="preserve">FIN - Deployment from Test/Staging to PROD</t>
  </si>
  <si>
    <t xml:space="preserve">2025-04-16</t>
  </si>
  <si>
    <t xml:space="preserve">No update in 546 days</t>
  </si>
  <si>
    <t xml:space="preserve">MEG-19724</t>
  </si>
  <si>
    <t xml:space="preserve">FIN - (Targeted) Regression Testing (PROD)</t>
  </si>
  <si>
    <t xml:space="preserve">MEG-20025</t>
  </si>
  <si>
    <t xml:space="preserve">To test Manual Add adjustments.</t>
  </si>
  <si>
    <t xml:space="preserve">2025-12-04</t>
  </si>
  <si>
    <t xml:space="preserve">QA test · Under MEG-20726 FIN-QA Testing · No update in 314 days</t>
  </si>
  <si>
    <t xml:space="preserve">MEG-20026</t>
  </si>
  <si>
    <t xml:space="preserve">To test Clone transaction</t>
  </si>
  <si>
    <t xml:space="preserve">CR-1027</t>
  </si>
  <si>
    <t xml:space="preserve">FINRA: Auto‑Populate Offer End Date Based on Offer Start Date</t>
  </si>
  <si>
    <t xml:space="preserve">2026-01-21</t>
  </si>
  <si>
    <t xml:space="preserve">No update in 266 days</t>
  </si>
  <si>
    <t xml:space="preserve">CR-1045</t>
  </si>
  <si>
    <t xml:space="preserve">FINRA: What field is determines the locations on the integration?</t>
  </si>
  <si>
    <t xml:space="preserve">2026-02-24</t>
  </si>
  <si>
    <t xml:space="preserve">No update in 232 days</t>
  </si>
  <si>
    <t xml:space="preserve">CR-1155</t>
  </si>
  <si>
    <t xml:space="preserve">In FINRA Prod, Open Date/Time field is being overwritten when Req Assignment status is changed from Open to Draft/In Review to add new vendors and then changed to Open again</t>
  </si>
  <si>
    <t xml:space="preserve">2026-03-31</t>
  </si>
  <si>
    <t xml:space="preserve">No update in 197 days</t>
  </si>
  <si>
    <t xml:space="preserve">CR-1263</t>
  </si>
  <si>
    <t xml:space="preserve">FINRA: Supplier Attributes Updated to IT Preferred</t>
  </si>
  <si>
    <t xml:space="preserve">2026-06-16</t>
  </si>
  <si>
    <t xml:space="preserve">No update in 120 days</t>
  </si>
  <si>
    <t xml:space="preserve">CR-1268</t>
  </si>
  <si>
    <t xml:space="preserve">FINRA: Central Notification Center (Suppliers &amp; Managers)</t>
  </si>
  <si>
    <t xml:space="preserve">CR-1284</t>
  </si>
  <si>
    <t xml:space="preserve">FINRA: Delegation Visibility</t>
  </si>
  <si>
    <t xml:space="preserve">2026-06-24</t>
  </si>
  <si>
    <t xml:space="preserve">No update in 112 days</t>
  </si>
  <si>
    <t xml:space="preserve">CR-1285</t>
  </si>
  <si>
    <t xml:space="preserve">FINRA: PO dates extended via Extension Workflow</t>
  </si>
  <si>
    <t xml:space="preserve">CR-1316</t>
  </si>
  <si>
    <t xml:space="preserve">FINRA: Update Case Visibility for HM</t>
  </si>
  <si>
    <t xml:space="preserve">2026-07-16</t>
  </si>
  <si>
    <t xml:space="preserve">CR-1338</t>
  </si>
  <si>
    <t xml:space="preserve">FINRA: Jake Galbrith Dashboard Creation Access</t>
  </si>
  <si>
    <t xml:space="preserve">2026-07-29</t>
  </si>
  <si>
    <t xml:space="preserve">CR-1381</t>
  </si>
  <si>
    <t xml:space="preserve">FINRA: 1074 Approval Authority – Supervisory Organization Manager Decoupling Review</t>
  </si>
  <si>
    <t xml:space="preserve">2026-08-26</t>
  </si>
  <si>
    <t xml:space="preserve">CR-1421</t>
  </si>
  <si>
    <t xml:space="preserve">FINRA: Supplier Task and Approval Notification Enhancements</t>
  </si>
  <si>
    <t xml:space="preserve">2026-09-30</t>
  </si>
  <si>
    <t xml:space="preserve">CR-859</t>
  </si>
  <si>
    <t xml:space="preserve">FIN - Clean up redundant position fields on the assignment and redundant position records</t>
  </si>
  <si>
    <t xml:space="preserve">2025-10-01</t>
  </si>
  <si>
    <t xml:space="preserve">No update in 378 days</t>
  </si>
  <si>
    <t xml:space="preserve">IP-2525</t>
  </si>
  <si>
    <t xml:space="preserve">FINRA: Send to Workday Error Message</t>
  </si>
  <si>
    <t xml:space="preserve">2026-04-15</t>
  </si>
  <si>
    <t xml:space="preserve">No update in 182 days</t>
  </si>
  <si>
    <t xml:space="preserve">IP-2879</t>
  </si>
  <si>
    <t xml:space="preserve">FINRA - When they rehire, the wizard creates a duplicate contrator contact</t>
  </si>
  <si>
    <t xml:space="preserve">2026-06-22</t>
  </si>
  <si>
    <t xml:space="preserve">No update in 114 days</t>
  </si>
  <si>
    <t xml:space="preserve">IP-3022</t>
  </si>
  <si>
    <t xml:space="preserve">FINRA: Requisition Filled Email- Sending twice</t>
  </si>
  <si>
    <t xml:space="preserve">2026-08-06</t>
  </si>
  <si>
    <t xml:space="preserve">IP-3170</t>
  </si>
  <si>
    <t xml:space="preserve">FIN - Birthdays in dataloaded legacy contractors have the wrong birthdays</t>
  </si>
  <si>
    <t xml:space="preserve">2026-09-29</t>
  </si>
  <si>
    <t xml:space="preserve">IR-447</t>
  </si>
  <si>
    <t xml:space="preserve">Expense Report Approval Delegation – Handling End of Delegation Period (In-Flight Approvals)</t>
  </si>
  <si>
    <t xml:space="preserve">2026-03-25</t>
  </si>
  <si>
    <t xml:space="preserve">No update in 203 days</t>
  </si>
  <si>
    <t xml:space="preserve">IR-450</t>
  </si>
  <si>
    <t xml:space="preserve">FINRA - Callout Record Analysis</t>
  </si>
  <si>
    <t xml:space="preserve">2025-07-22</t>
  </si>
  <si>
    <t xml:space="preserve">No update in 449 days</t>
  </si>
  <si>
    <t xml:space="preserve">IR-461</t>
  </si>
  <si>
    <t xml:space="preserve">FINRA - Training to Schedule Reports</t>
  </si>
  <si>
    <t xml:space="preserve">2025-08-11</t>
  </si>
  <si>
    <t xml:space="preserve">No update in 429 days</t>
  </si>
  <si>
    <t xml:space="preserve">IR-481</t>
  </si>
  <si>
    <t xml:space="preserve">FIN - Disabled Before Trigger Flow Analysis and Fix</t>
  </si>
  <si>
    <t xml:space="preserve">2025-09-17</t>
  </si>
  <si>
    <t xml:space="preserve">No update in 392 days</t>
  </si>
  <si>
    <t xml:space="preserve">IR-493</t>
  </si>
  <si>
    <t xml:space="preserve">FIN - Handle outstanding assignments that need to be retriggered</t>
  </si>
  <si>
    <t xml:space="preserve">IR-494</t>
  </si>
  <si>
    <t xml:space="preserve">FIN - Business to decide if contacts is an issue</t>
  </si>
  <si>
    <t xml:space="preserve">IR-495</t>
  </si>
  <si>
    <t xml:space="preserve">FIN - Handle outstanding cases that need to be retriggered</t>
  </si>
  <si>
    <t xml:space="preserve">IR-496</t>
  </si>
  <si>
    <t xml:space="preserve">FIN - Business to decide if rates is an issue</t>
  </si>
  <si>
    <t xml:space="preserve">IR-497</t>
  </si>
  <si>
    <t xml:space="preserve">FIN - Business to decide if tasks (finger printing) is an issue</t>
  </si>
  <si>
    <t xml:space="preserve">IR-812</t>
  </si>
  <si>
    <t xml:space="preserve">FINRA - can we please have Inbound Integration Record in Timesheet quick links</t>
  </si>
  <si>
    <t xml:space="preserve">Katy Godfrey</t>
  </si>
  <si>
    <t xml:space="preserve">2026-04-10</t>
  </si>
  <si>
    <t xml:space="preserve">No update in 187 days</t>
  </si>
  <si>
    <t xml:space="preserve">MEG-18880</t>
  </si>
  <si>
    <t xml:space="preserve">FIN - Business</t>
  </si>
  <si>
    <t xml:space="preserve">2025-02-25</t>
  </si>
  <si>
    <t xml:space="preserve">Epic · No update in 596 days</t>
  </si>
  <si>
    <t xml:space="preserve">MEG-18920</t>
  </si>
  <si>
    <t xml:space="preserve">FIN - Configuration</t>
  </si>
  <si>
    <t xml:space="preserve">2025-01-09</t>
  </si>
  <si>
    <t xml:space="preserve">Epic · 0.5 h logged across its child tickets (not counted) · No update in 643 days</t>
  </si>
  <si>
    <t xml:space="preserve">MEG-18923</t>
  </si>
  <si>
    <t xml:space="preserve">FIN - REQ Wizard</t>
  </si>
  <si>
    <t xml:space="preserve">2025-03-03</t>
  </si>
  <si>
    <t xml:space="preserve">Epic · 49.75 h logged across its child tickets (not counted) · No update in 590 days</t>
  </si>
  <si>
    <t xml:space="preserve">MEG-18924</t>
  </si>
  <si>
    <t xml:space="preserve">FIN - Requisitions</t>
  </si>
  <si>
    <t xml:space="preserve">Epic · 37 h logged across its child tickets (not counted) · No update in 643 days</t>
  </si>
  <si>
    <t xml:space="preserve">MEG-18925</t>
  </si>
  <si>
    <t xml:space="preserve">FIN - Transactions / Invoicing</t>
  </si>
  <si>
    <t xml:space="preserve">Epic · 18.5 h logged across its child tickets (not counted) · No update in 643 days</t>
  </si>
  <si>
    <t xml:space="preserve">MEG-18926</t>
  </si>
  <si>
    <t xml:space="preserve">FIN - Approvals (spend)</t>
  </si>
  <si>
    <t xml:space="preserve">2025-01-31</t>
  </si>
  <si>
    <t xml:space="preserve">Epic · 95 h logged across its child tickets (not counted) · No update in 621 days</t>
  </si>
  <si>
    <t xml:space="preserve">MEG-18927</t>
  </si>
  <si>
    <t xml:space="preserve">FIN - Unit Sheet (VMS)</t>
  </si>
  <si>
    <t xml:space="preserve">Epic · 4 h logged across its child tickets (not counted) · No update in 643 days</t>
  </si>
  <si>
    <t xml:space="preserve">MEG-18928</t>
  </si>
  <si>
    <t xml:space="preserve">FIN - Expense</t>
  </si>
  <si>
    <t xml:space="preserve">2025-01-24</t>
  </si>
  <si>
    <t xml:space="preserve">Epic · 66.25 h logged across its child tickets (not counted) · No update in 628 days</t>
  </si>
  <si>
    <t xml:space="preserve">MEG-18929</t>
  </si>
  <si>
    <t xml:space="preserve">FIN - On Boarding / Off boarding</t>
  </si>
  <si>
    <t xml:space="preserve">Epic · 48.5 h logged across its child tickets (not counted) · No update in 643 days</t>
  </si>
  <si>
    <t xml:space="preserve">MEG-18931</t>
  </si>
  <si>
    <t xml:space="preserve">FIN - Custom Reports</t>
  </si>
  <si>
    <t xml:space="preserve">MEG-18932</t>
  </si>
  <si>
    <t xml:space="preserve">Standard Reports</t>
  </si>
  <si>
    <t xml:space="preserve">2025-03-06</t>
  </si>
  <si>
    <t xml:space="preserve">Under MEG-18880 FIN - Business · No update in 587 days</t>
  </si>
  <si>
    <t xml:space="preserve">MEG-18933</t>
  </si>
  <si>
    <t xml:space="preserve">Dashboards</t>
  </si>
  <si>
    <t xml:space="preserve">MEG-18934</t>
  </si>
  <si>
    <t xml:space="preserve">Field Tracking</t>
  </si>
  <si>
    <t xml:space="preserve">MEG-18937</t>
  </si>
  <si>
    <t xml:space="preserve">FIN - Profile / User Roles</t>
  </si>
  <si>
    <t xml:space="preserve">Epic · 28 h logged across its child tickets (not counted) · No update in 590 days</t>
  </si>
  <si>
    <t xml:space="preserve">MEG-18938</t>
  </si>
  <si>
    <t xml:space="preserve">FIN - Submission / Candidate</t>
  </si>
  <si>
    <t xml:space="preserve">2025-02-28</t>
  </si>
  <si>
    <t xml:space="preserve">Epic · 189.75 h logged across its child tickets (not counted) · No update in 593 days</t>
  </si>
  <si>
    <t xml:space="preserve">MEG-18939</t>
  </si>
  <si>
    <t xml:space="preserve">FIN - Engagement Management</t>
  </si>
  <si>
    <t xml:space="preserve">2025-04-08</t>
  </si>
  <si>
    <t xml:space="preserve">Epic · 173.25 h logged across its child tickets (not counted) · No update in 554 days</t>
  </si>
  <si>
    <t xml:space="preserve">MEG-18941</t>
  </si>
  <si>
    <t xml:space="preserve">FIN - Integration - Timesheets</t>
  </si>
  <si>
    <t xml:space="preserve">2025-05-09</t>
  </si>
  <si>
    <t xml:space="preserve">Epic · 122 h logged across its child tickets (not counted) · No update in 523 days</t>
  </si>
  <si>
    <t xml:space="preserve">MEG-18942</t>
  </si>
  <si>
    <t xml:space="preserve">FIN - Integration - Master Data (SFTP)</t>
  </si>
  <si>
    <t xml:space="preserve">Epic · 160 h logged across its child tickets (not counted) · No update in 590 days</t>
  </si>
  <si>
    <t xml:space="preserve">MEG-18943</t>
  </si>
  <si>
    <t xml:space="preserve">FIN - Integration - New Hire / Rehire - Workday (API)</t>
  </si>
  <si>
    <t xml:space="preserve">Epic · 98.0333 h logged across its child tickets (not counted) · No update in 621 days</t>
  </si>
  <si>
    <t xml:space="preserve">MEG-18945</t>
  </si>
  <si>
    <t xml:space="preserve">FIN - Integration - Workday Financials (XML)</t>
  </si>
  <si>
    <t xml:space="preserve">Epic · 40 h logged across its child tickets (not counted) · No update in 621 days</t>
  </si>
  <si>
    <t xml:space="preserve">MEG-18947</t>
  </si>
  <si>
    <t xml:space="preserve">FIN - PROD Cutover Activities</t>
  </si>
  <si>
    <t xml:space="preserve">Epic · 0.5 h logged across its child tickets (not counted) · No update in 546 days</t>
  </si>
  <si>
    <t xml:space="preserve">MEG-18948</t>
  </si>
  <si>
    <t xml:space="preserve">FIN - Go-Live</t>
  </si>
  <si>
    <t xml:space="preserve">2025-03-04</t>
  </si>
  <si>
    <t xml:space="preserve">Epic · 10 h logged across its child tickets (not counted) · No update in 589 days</t>
  </si>
  <si>
    <t xml:space="preserve">MEG-18955</t>
  </si>
  <si>
    <t xml:space="preserve">Setup MSP User</t>
  </si>
  <si>
    <t xml:space="preserve">MEG-18956</t>
  </si>
  <si>
    <t xml:space="preserve">Setup Payroll Supplier - Account &amp; Contact</t>
  </si>
  <si>
    <t xml:space="preserve">MEG-19147</t>
  </si>
  <si>
    <t xml:space="preserve">FIN - Integrations - Other</t>
  </si>
  <si>
    <t xml:space="preserve">Epic · 61 h logged across its child tickets (not counted) · No update in 596 days</t>
  </si>
  <si>
    <t xml:space="preserve">MEG-19158</t>
  </si>
  <si>
    <t xml:space="preserve">Setup Holiday Schedule - 2025 and 2026</t>
  </si>
  <si>
    <t xml:space="preserve">MEG-19192</t>
  </si>
  <si>
    <t xml:space="preserve">FIN - Integration Connectivity</t>
  </si>
  <si>
    <t xml:space="preserve">2025-01-23</t>
  </si>
  <si>
    <t xml:space="preserve">Epic · 28 h logged across its child tickets (not counted) · No update in 629 days</t>
  </si>
  <si>
    <t xml:space="preserve">MEG-19200</t>
  </si>
  <si>
    <t xml:space="preserve">FIN Regression Test</t>
  </si>
  <si>
    <t xml:space="preserve">QA test set · No update in 317 days</t>
  </si>
  <si>
    <t xml:space="preserve">MEG-19224</t>
  </si>
  <si>
    <t xml:space="preserve">FIN - Data Migration (load sheets)</t>
  </si>
  <si>
    <t xml:space="preserve">Epic · No update in 621 days</t>
  </si>
  <si>
    <t xml:space="preserve">MEG-19225</t>
  </si>
  <si>
    <t xml:space="preserve">Test / UAT Load Sheet</t>
  </si>
  <si>
    <t xml:space="preserve">Under MEG-19224 FIN - Data Migration (load sheets) · No update in 621 days</t>
  </si>
  <si>
    <t xml:space="preserve">MEG-19226</t>
  </si>
  <si>
    <t xml:space="preserve">Production Load Sheet</t>
  </si>
  <si>
    <t xml:space="preserve">MEG-19263</t>
  </si>
  <si>
    <t xml:space="preserve">FIN - Integration - Termination and Change HM (API)</t>
  </si>
  <si>
    <t xml:space="preserve">2025-04-01</t>
  </si>
  <si>
    <t xml:space="preserve">Epic · 11 h logged across its child tickets (not counted) · No update in 561 days</t>
  </si>
  <si>
    <t xml:space="preserve">MEG-19299</t>
  </si>
  <si>
    <t xml:space="preserve">FIN - Integration Workflow Scenarios</t>
  </si>
  <si>
    <t xml:space="preserve">Epic · 152.333 h logged across its child tickets (not counted) · No update in 593 days</t>
  </si>
  <si>
    <t xml:space="preserve">MEG-19365</t>
  </si>
  <si>
    <t xml:space="preserve">Email Templates / Triggers</t>
  </si>
  <si>
    <t xml:space="preserve">MEG-19374</t>
  </si>
  <si>
    <t xml:space="preserve">FIN - Add Interviewer - Whenever new Interview request is created HM should be auto -added to the list of interviewers</t>
  </si>
  <si>
    <t xml:space="preserve">2025-08-21</t>
  </si>
  <si>
    <t xml:space="preserve">No update in 419 days</t>
  </si>
  <si>
    <t xml:space="preserve">MEG-19418</t>
  </si>
  <si>
    <t xml:space="preserve">FIN - Rename MSP everywhere in email templates to VMO (FINRA terminology)</t>
  </si>
  <si>
    <t xml:space="preserve">2025-05-02</t>
  </si>
  <si>
    <t xml:space="preserve">No update in 530 days</t>
  </si>
  <si>
    <t xml:space="preserve">MEG-19440</t>
  </si>
  <si>
    <t xml:space="preserve">FIN - Phase 2</t>
  </si>
  <si>
    <t xml:space="preserve">2025-02-14</t>
  </si>
  <si>
    <t xml:space="preserve">Epic · No update in 607 days</t>
  </si>
  <si>
    <t xml:space="preserve">MEG-19585</t>
  </si>
  <si>
    <t xml:space="preserve">FIN - Data Migration / Load Sheets (PROD) - IT Validation</t>
  </si>
  <si>
    <t xml:space="preserve">MEG-19598</t>
  </si>
  <si>
    <t xml:space="preserve">FIN - Strip off all [x] Deprecated field visibility all users</t>
  </si>
  <si>
    <t xml:space="preserve">No update in 593 days</t>
  </si>
  <si>
    <t xml:space="preserve">MEG-19699</t>
  </si>
  <si>
    <t xml:space="preserve">FIN - Integration - Worker Updates - Workday (API)</t>
  </si>
  <si>
    <t xml:space="preserve">2026-03-13</t>
  </si>
  <si>
    <t xml:space="preserve">Epic · 14 h logged across its child tickets (not counted) · No update in 215 days</t>
  </si>
  <si>
    <t xml:space="preserve">MEG-19718</t>
  </si>
  <si>
    <t xml:space="preserve">FIN - QA/FULL Deployment &amp; Regression Activities</t>
  </si>
  <si>
    <t xml:space="preserve">Epic · 4 h logged across its child tickets (not counted) · No update in 546 days</t>
  </si>
  <si>
    <t xml:space="preserve">MEG-19856</t>
  </si>
  <si>
    <t xml:space="preserve">FINAL position list (100% complete)</t>
  </si>
  <si>
    <t xml:space="preserve">No update in 587 days</t>
  </si>
  <si>
    <t xml:space="preserve">MEG-19857</t>
  </si>
  <si>
    <t xml:space="preserve">To Test Spend Approvals on Assignments- End To End (Regular + Etensions)</t>
  </si>
  <si>
    <t xml:space="preserve">MEG-19944</t>
  </si>
  <si>
    <t xml:space="preserve">FIN - All integration connections / Master Data for PROD</t>
  </si>
  <si>
    <t xml:space="preserve">MEG-19964</t>
  </si>
  <si>
    <t xml:space="preserve">FIN - Client Integration Work</t>
  </si>
  <si>
    <t xml:space="preserve">Epic · No update in 530 days</t>
  </si>
  <si>
    <t xml:space="preserve">MEG-19970</t>
  </si>
  <si>
    <t xml:space="preserve">FIN - Client must schedule Timesheet 1119 and 1120 files to drop to QA SFTP</t>
  </si>
  <si>
    <t xml:space="preserve">MEG-20087</t>
  </si>
  <si>
    <t xml:space="preserve">FIN - Setup Dev Environment</t>
  </si>
  <si>
    <t xml:space="preserve">2025-03-20</t>
  </si>
  <si>
    <t xml:space="preserve">Epic · 5 h logged across its child tickets (not counted) · No update in 573 days</t>
  </si>
  <si>
    <t xml:space="preserve">MEG-20143</t>
  </si>
  <si>
    <t xml:space="preserve">FIN - Client to execute / plan for go-live migration (Fieldglass ID's - WK and WO)</t>
  </si>
  <si>
    <t xml:space="preserve">MEG-20230</t>
  </si>
  <si>
    <t xml:space="preserve">Internal - To test Cancel Req- Category Screen</t>
  </si>
  <si>
    <t xml:space="preserve">MEG-20231</t>
  </si>
  <si>
    <t xml:space="preserve">Internal -To test Cancel Req -Assignment Screen</t>
  </si>
  <si>
    <t xml:space="preserve">MEG-20232</t>
  </si>
  <si>
    <t xml:space="preserve">Internal- To test Cancel Req -Position Screen</t>
  </si>
  <si>
    <t xml:space="preserve">MEG-20233</t>
  </si>
  <si>
    <t xml:space="preserve">Internal -To test if Closing Date/time is added to a Requisition with status "Draft"/"In Review" then Requisition status is updated based on inputted Closing Date/time.</t>
  </si>
  <si>
    <t xml:space="preserve">2025-12-02</t>
  </si>
  <si>
    <t xml:space="preserve">QA test · Under MEG-20726 FIN-QA Testing · No update in 316 days</t>
  </si>
  <si>
    <t xml:space="preserve">MEG-20234</t>
  </si>
  <si>
    <t xml:space="preserve">Internal -To test if Closing Date/time is added to a Requisition with status "Open"  then Requisition status is updated based on inputted Closing Date/time .</t>
  </si>
  <si>
    <t xml:space="preserve">MEG-20235</t>
  </si>
  <si>
    <t xml:space="preserve">Internal - To test if Vendor is unable to Create/Submit a Candidate Record when Requisition status is Evaluation, Filled, On Hold or Cancelled</t>
  </si>
  <si>
    <t xml:space="preserve">MEG-20236</t>
  </si>
  <si>
    <t xml:space="preserve">Internal - To Test if Vendor is able to withdraw a Candidate and then resubmit the candidate.</t>
  </si>
  <si>
    <t xml:space="preserve">MEG-20237</t>
  </si>
  <si>
    <t xml:space="preserve">Internal - To test if Vendor is able to deny an interview request-Place holder</t>
  </si>
  <si>
    <t xml:space="preserve">MEG-20238</t>
  </si>
  <si>
    <t xml:space="preserve">Internal- To Test validation error message for Req Interview and Make Offer (HM) Button</t>
  </si>
  <si>
    <t xml:space="preserve">MEG-20239</t>
  </si>
  <si>
    <t xml:space="preserve">Internal - To test if Partial Match is applied when supplier is accepting an offer for a Candidate such that the Candidate's  Email ID matches with Existing Contractor Email ID and Candidate ID doesnot match with existing Contractor's Candidate ID</t>
  </si>
  <si>
    <t xml:space="preserve">MEG-20240</t>
  </si>
  <si>
    <t xml:space="preserve">Internal - To test if Partial Match is applied when supplier is accepting an offer for a Candidate such that the Candidate's Email ID  doesnot match with Existing Contractor Email ID and Candidate ID matches with existing Contractor's Candidate ID</t>
  </si>
  <si>
    <t xml:space="preserve">MEG-20294</t>
  </si>
  <si>
    <t xml:space="preserve">FINRA Dev/QA Test Cycle1 April 2025</t>
  </si>
  <si>
    <t xml:space="preserve">QA test execution · No update in 317 days</t>
  </si>
  <si>
    <t xml:space="preserve">MEG-20318</t>
  </si>
  <si>
    <t xml:space="preserve">To test Approval Delegations</t>
  </si>
  <si>
    <t xml:space="preserve">MEG-20724</t>
  </si>
  <si>
    <t xml:space="preserve">MEG-20726</t>
  </si>
  <si>
    <t xml:space="preserve">FIN-QA Testing</t>
  </si>
  <si>
    <t xml:space="preserve">Epic · No update in 317 days</t>
  </si>
  <si>
    <t xml:space="preserve">MEG-20812</t>
  </si>
  <si>
    <t xml:space="preserve">PH - FIN - To test Assignment Expiry Email Notifications</t>
  </si>
  <si>
    <t xml:space="preserve">QA test · No update in 317 days</t>
  </si>
  <si>
    <t xml:space="preserve">MEG-20813</t>
  </si>
  <si>
    <t xml:space="preserve">PH - FIN - To test PO Depletion Email notifications</t>
  </si>
  <si>
    <t xml:space="preserve">QA test · No update in 314 days</t>
  </si>
  <si>
    <t xml:space="preserve">MEG-20945</t>
  </si>
  <si>
    <t xml:space="preserve">FIN - SIT Issues</t>
  </si>
  <si>
    <t xml:space="preserve">Epic · 23.5167 h logged across its child tickets (not counted) · No update in 518 days</t>
  </si>
  <si>
    <t xml:space="preserve">MEG-21328</t>
  </si>
  <si>
    <t xml:space="preserve">FIN - Change Request - Invoice Automation</t>
  </si>
  <si>
    <t xml:space="preserve">2025-05-30</t>
  </si>
  <si>
    <t xml:space="preserve">No update in 502 days</t>
  </si>
  <si>
    <t xml:space="preserve">MEG-21782</t>
  </si>
  <si>
    <t xml:space="preserve">(Sample-FINRA Critical and High Risk Test Scenarios Set)</t>
  </si>
  <si>
    <t xml:space="preserve">QA test set · No update in 484 days</t>
  </si>
  <si>
    <t xml:space="preserve">MEG-21937</t>
  </si>
  <si>
    <t xml:space="preserve">(Sample)-FIN-Placeholder Test Plan- Short Term</t>
  </si>
  <si>
    <t xml:space="preserve">QA test plan · No update in 317 days</t>
  </si>
  <si>
    <t xml:space="preserve">MEG-21938</t>
  </si>
  <si>
    <t xml:space="preserve">(Sample-FIN-Placeholder Test Execution- Short Term)</t>
  </si>
  <si>
    <t xml:space="preserve">QA sub test execution · No update in 317 days</t>
  </si>
  <si>
    <t xml:space="preserve">MEG-21939</t>
  </si>
  <si>
    <t xml:space="preserve">FIN -Placeholder Test</t>
  </si>
  <si>
    <t xml:space="preserve">2025-06-13</t>
  </si>
  <si>
    <t xml:space="preserve">QA test · No update in 488 days</t>
  </si>
  <si>
    <t xml:space="preserve">MEG-21979</t>
  </si>
  <si>
    <t xml:space="preserve">FIN - Test Cycle - Training June 2025</t>
  </si>
  <si>
    <t xml:space="preserve">MEG-22118</t>
  </si>
  <si>
    <t xml:space="preserve">FINRA - Bill Rate not exposed to supplier</t>
  </si>
  <si>
    <t xml:space="preserve">2025-06-19</t>
  </si>
  <si>
    <t xml:space="preserve">No update in 482 days</t>
  </si>
  <si>
    <t xml:space="preserve">MEG-22141</t>
  </si>
  <si>
    <t xml:space="preserve">FIN-SOW/Headcount Eng-A-New fields are showing on Eng-Assignment</t>
  </si>
  <si>
    <t xml:space="preserve">2025-07-11</t>
  </si>
  <si>
    <t xml:space="preserve">No update in 460 days</t>
  </si>
  <si>
    <t xml:space="preserve">MEG-22234</t>
  </si>
  <si>
    <t xml:space="preserve">FIN - Workday Production Connectivity Test</t>
  </si>
  <si>
    <t xml:space="preserve">2025-06-25</t>
  </si>
  <si>
    <t xml:space="preserve">No update in 476 days</t>
  </si>
  <si>
    <t xml:space="preserve">MEG-22495</t>
  </si>
  <si>
    <t xml:space="preserve">FIN- Refresh full? Discuss</t>
  </si>
  <si>
    <t xml:space="preserve">2025-10-28</t>
  </si>
  <si>
    <t xml:space="preserve">No update in 351 days</t>
  </si>
  <si>
    <t xml:space="preserve">MEG-22540</t>
  </si>
  <si>
    <t xml:space="preserve">FIN-Eng-Assignment- MSP should be allowed to close all tasks</t>
  </si>
  <si>
    <t xml:space="preserve">STAR-1689</t>
  </si>
  <si>
    <t xml:space="preserve">Functional standard reports and dashboards library with all necessary custom reporting fields</t>
  </si>
  <si>
    <t xml:space="preserve">STAR-1696</t>
  </si>
  <si>
    <t xml:space="preserve">FINRA specific reporting</t>
  </si>
  <si>
    <t xml:space="preserve">No update in 491 days</t>
  </si>
  <si>
    <t xml:space="preserve">For Review — Not Counted in Totals</t>
  </si>
  <si>
    <t xml:space="preserve">Multi-client tickets that include FINRA work; decide whether to include</t>
  </si>
  <si>
    <t xml:space="preserve">CBT-137</t>
  </si>
  <si>
    <t xml:space="preserve">.NET build of the three evaluation scenarios (FINRA 400, Rogers Freelancers, Anaplan P1000 Employees)</t>
  </si>
  <si>
    <t xml:space="preserve">mohsinb</t>
  </si>
  <si>
    <t xml:space="preserve">Multi-client ETL 2.0 pilot: FINRA 400 is one of three scenarios</t>
  </si>
  <si>
    <t xml:space="preserve">CBT-85</t>
  </si>
  <si>
    <t xml:space="preserve">Define pilot exit criteria and reconciliation method</t>
  </si>
  <si>
    <t xml:space="preserve">Multi-client ETL 2.0 pilot: scorecard covers FINRA 400, Rogers Freelancers and Anaplan P1000</t>
  </si>
  <si>
    <t xml:space="preserve">CBT-97</t>
  </si>
  <si>
    <t xml:space="preserve">Assess ADF-native versus Functions per pilot workload</t>
  </si>
  <si>
    <t xml:space="preserve">Multi-client ETL 2.0 pilot: workloads include FINRA 400 and Rogers 1500</t>
  </si>
  <si>
    <t xml:space="preserve">IR-907</t>
  </si>
  <si>
    <t xml:space="preserve">Verify Your Identity Prompt When Exporting Reports - Wrong Report Output than Selected</t>
  </si>
  <si>
    <t xml:space="preserve">2026-07-22</t>
  </si>
  <si>
    <t xml:space="preserve">Multi-client: FINRA is one of 10 clients affected (with Anaplan, Deloitte, FanDuel, KPMG, PwC and others)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</si>
</sst>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&quot; h&quot;"/>
    <numFmt numFmtId="167" formatCode="0.00&quot; h&quot;"/>
    <numFmt numFmtId="168" formatCode="0.00&quot; h&quot;;;&quot;0 h&quot;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DCE6F7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22"/>
      <color rgb="FF14213D"/>
      <name val="Arial"/>
      <family val="0"/>
      <charset val="1"/>
    </font>
    <font>
      <b val="true"/>
      <sz val="22"/>
      <color rgb="FF2563EB"/>
      <name val="Arial"/>
      <family val="0"/>
      <charset val="1"/>
    </font>
    <font>
      <b val="true"/>
      <sz val="22"/>
      <color rgb="FFD97706"/>
      <name val="Arial"/>
      <family val="0"/>
      <charset val="1"/>
    </font>
    <font>
      <b val="true"/>
      <sz val="22"/>
      <color rgb="FF475569"/>
      <name val="Arial"/>
      <family val="0"/>
      <charset val="1"/>
    </font>
    <font>
      <b val="true"/>
      <sz val="22"/>
      <color rgb="FF0F766E"/>
      <name val="Arial"/>
      <family val="0"/>
      <charset val="1"/>
    </font>
    <font>
      <b val="true"/>
      <sz val="22"/>
      <color rgb="FF7C3AE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u val="single"/>
      <sz val="10"/>
      <color rgb="FF2B59C3"/>
      <name val="Arial"/>
      <family val="0"/>
      <charset val="1"/>
    </font>
    <font>
      <sz val="10"/>
      <color rgb="FF94A3B8"/>
      <name val="Arial"/>
      <family val="0"/>
      <charset val="1"/>
    </font>
    <font>
      <i val="true"/>
      <sz val="10"/>
      <color rgb="FFB45309"/>
      <name val="Arial"/>
      <family val="0"/>
      <charset val="1"/>
    </font>
    <font>
      <i val="true"/>
      <sz val="10"/>
      <color rgb="FF94A3B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1F5F9"/>
        <bgColor rgb="FFF8FAFC"/>
      </patternFill>
    </fill>
    <fill>
      <patternFill patternType="solid">
        <fgColor rgb="FFDBEAFE"/>
        <bgColor rgb="FFDCE6F7"/>
      </patternFill>
    </fill>
    <fill>
      <patternFill patternType="solid">
        <fgColor rgb="FFFEF3C7"/>
        <bgColor rgb="FFF1F5F9"/>
      </patternFill>
    </fill>
    <fill>
      <patternFill patternType="solid">
        <fgColor rgb="FF0F766E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2B59C3"/>
        <bgColor rgb="FF2563EB"/>
      </patternFill>
    </fill>
    <fill>
      <patternFill patternType="solid">
        <fgColor rgb="FF64748B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9F0"/>
      </bottom>
      <diagonal/>
    </border>
    <border diagonalUp="false" diagonalDown="false">
      <left/>
      <right/>
      <top style="medium">
        <color rgb="FF14213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28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4213D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B59C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1E40A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78787"/>
      <rgbColor rgb="FF9999FF"/>
      <rgbColor rgb="FFB45309"/>
      <rgbColor rgb="FFFEF3C7"/>
      <rgbColor rgb="FFDBEAFE"/>
      <rgbColor rgb="FF660066"/>
      <rgbColor rgb="FFFF8080"/>
      <rgbColor rgb="FF2B59C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7"/>
      <rgbColor rgb="FFE5E9F0"/>
      <rgbColor rgb="FFF8FAFC"/>
      <rgbColor rgb="FF99CCFF"/>
      <rgbColor rgb="FFFF99CC"/>
      <rgbColor rgb="FFCC99FF"/>
      <rgbColor rgb="FFF1F5F9"/>
      <rgbColor rgb="FF2563EB"/>
      <rgbColor rgb="FF33CCCC"/>
      <rgbColor rgb="FF99CC00"/>
      <rgbColor rgb="FFFFCC00"/>
      <rgbColor rgb="FFFF9900"/>
      <rgbColor rgb="FFD97706"/>
      <rgbColor rgb="FF64748B"/>
      <rgbColor rgb="FF94A3B8"/>
      <rgbColor rgb="FF003366"/>
      <rgbColor rgb="FF339966"/>
      <rgbColor rgb="FF003300"/>
      <rgbColor rgb="FF475569"/>
      <rgbColor rgb="FF92400E"/>
      <rgbColor rgb="FF7C3AED"/>
      <rgbColor rgb="FF1E40AF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Summary!B8</c:f>
              <c:strCache>
                <c:ptCount val="1"/>
                <c:pt idx="0">
                  <c:v>Prod Pod</c:v>
                </c:pt>
              </c:strCache>
            </c:strRef>
          </c:tx>
          <c:spPr>
            <a:solidFill>
              <a:srgbClr val="0f766e"/>
            </a:solidFill>
            <a:ln w="9360">
              <a:solidFill>
                <a:srgbClr val="0f766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Summary!$A$9:$A$11</c:f>
              <c:strCache>
                <c:ptCount val="3"/>
                <c:pt idx="0">
                  <c:v>In Progress</c:v>
                </c:pt>
                <c:pt idx="1">
                  <c:v>Needs Analysis</c:v>
                </c:pt>
                <c:pt idx="2">
                  <c:v>To Do</c:v>
                </c:pt>
              </c:strCache>
            </c:strRef>
          </c:cat>
          <c:val>
            <c:numRef>
              <c:f>Summary!$B$9:$B$11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Summary!C8</c:f>
              <c:strCache>
                <c:ptCount val="1"/>
                <c:pt idx="0">
                  <c:v>Other FINRA</c:v>
                </c:pt>
              </c:strCache>
            </c:strRef>
          </c:tx>
          <c:spPr>
            <a:solidFill>
              <a:srgbClr val="2b59c3"/>
            </a:solidFill>
            <a:ln w="9360">
              <a:solidFill>
                <a:srgbClr val="2b59c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Summary!$A$9:$A$11</c:f>
              <c:strCache>
                <c:ptCount val="3"/>
                <c:pt idx="0">
                  <c:v>In Progress</c:v>
                </c:pt>
                <c:pt idx="1">
                  <c:v>Needs Analysis</c:v>
                </c:pt>
                <c:pt idx="2">
                  <c:v>To Do</c:v>
                </c:pt>
              </c:strCache>
            </c:strRef>
          </c:cat>
          <c:val>
            <c:numRef>
              <c:f>Summary!$C$9:$C$11</c:f>
              <c:numCache>
                <c:formatCode>General</c:formatCode>
                <c:ptCount val="3"/>
                <c:pt idx="0">
                  <c:v>19</c:v>
                </c:pt>
                <c:pt idx="1">
                  <c:v>5</c:v>
                </c:pt>
                <c:pt idx="2">
                  <c:v>105</c:v>
                </c:pt>
              </c:numCache>
            </c:numRef>
          </c:val>
        </c:ser>
        <c:gapWidth val="150"/>
        <c:overlap val="100"/>
        <c:axId val="96067594"/>
        <c:axId val="93176433"/>
      </c:barChart>
      <c:catAx>
        <c:axId val="9606759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76433"/>
        <c:crosses val="autoZero"/>
        <c:auto val="1"/>
        <c:lblAlgn val="ctr"/>
        <c:lblOffset val="100"/>
        <c:noMultiLvlLbl val="0"/>
      </c:catAx>
      <c:valAx>
        <c:axId val="93176433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675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5</xdr:col>
      <xdr:colOff>1115280</xdr:colOff>
      <xdr:row>41</xdr:row>
      <xdr:rowOff>32760</xdr:rowOff>
    </xdr:to>
    <xdr:graphicFrame>
      <xdr:nvGraphicFramePr>
        <xdr:cNvPr id="0" name="Chart 1"/>
        <xdr:cNvGraphicFramePr/>
      </xdr:nvGraphicFramePr>
      <xdr:xfrm>
        <a:off x="0" y="56102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egatron.atlassian.net/browse/IP-3012" TargetMode="External"/><Relationship Id="rId2" Type="http://schemas.openxmlformats.org/officeDocument/2006/relationships/hyperlink" Target="https://megatron.atlassian.net/browse/IP-2856" TargetMode="External"/><Relationship Id="rId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egatron.atlassian.net/browse/MEG-18805" TargetMode="External"/><Relationship Id="rId2" Type="http://schemas.openxmlformats.org/officeDocument/2006/relationships/hyperlink" Target="https://megatron.atlassian.net/browse/MEG-19584" TargetMode="External"/><Relationship Id="rId3" Type="http://schemas.openxmlformats.org/officeDocument/2006/relationships/hyperlink" Target="https://megatron.atlassian.net/browse/MEG-19591" TargetMode="External"/><Relationship Id="rId4" Type="http://schemas.openxmlformats.org/officeDocument/2006/relationships/hyperlink" Target="https://megatron.atlassian.net/browse/MEG-19723" TargetMode="External"/><Relationship Id="rId5" Type="http://schemas.openxmlformats.org/officeDocument/2006/relationships/hyperlink" Target="https://megatron.atlassian.net/browse/MEG-19851" TargetMode="External"/><Relationship Id="rId6" Type="http://schemas.openxmlformats.org/officeDocument/2006/relationships/hyperlink" Target="https://megatron.atlassian.net/browse/MEG-19852" TargetMode="External"/><Relationship Id="rId7" Type="http://schemas.openxmlformats.org/officeDocument/2006/relationships/hyperlink" Target="https://megatron.atlassian.net/browse/MEG-19853" TargetMode="External"/><Relationship Id="rId8" Type="http://schemas.openxmlformats.org/officeDocument/2006/relationships/hyperlink" Target="https://megatron.atlassian.net/browse/MEG-19938" TargetMode="External"/><Relationship Id="rId9" Type="http://schemas.openxmlformats.org/officeDocument/2006/relationships/hyperlink" Target="https://megatron.atlassian.net/browse/MEG-20014" TargetMode="External"/><Relationship Id="rId10" Type="http://schemas.openxmlformats.org/officeDocument/2006/relationships/hyperlink" Target="https://megatron.atlassian.net/browse/MEG-20019" TargetMode="External"/><Relationship Id="rId11" Type="http://schemas.openxmlformats.org/officeDocument/2006/relationships/hyperlink" Target="https://megatron.atlassian.net/browse/MEG-20027" TargetMode="External"/><Relationship Id="rId12" Type="http://schemas.openxmlformats.org/officeDocument/2006/relationships/hyperlink" Target="https://megatron.atlassian.net/browse/MEG-20107" TargetMode="External"/><Relationship Id="rId13" Type="http://schemas.openxmlformats.org/officeDocument/2006/relationships/hyperlink" Target="https://megatron.atlassian.net/browse/MEG-20258" TargetMode="External"/><Relationship Id="rId14" Type="http://schemas.openxmlformats.org/officeDocument/2006/relationships/hyperlink" Target="https://megatron.atlassian.net/browse/MEG-20651" TargetMode="External"/><Relationship Id="rId15" Type="http://schemas.openxmlformats.org/officeDocument/2006/relationships/hyperlink" Target="https://megatron.atlassian.net/browse/STAR-1688" TargetMode="External"/><Relationship Id="rId16" Type="http://schemas.openxmlformats.org/officeDocument/2006/relationships/hyperlink" Target="https://megatron.atlassian.net/browse/STAR-1692" TargetMode="External"/><Relationship Id="rId17" Type="http://schemas.openxmlformats.org/officeDocument/2006/relationships/hyperlink" Target="https://megatron.atlassian.net/browse/STAR-1693" TargetMode="External"/><Relationship Id="rId18" Type="http://schemas.openxmlformats.org/officeDocument/2006/relationships/hyperlink" Target="https://megatron.atlassian.net/browse/STAR-1694" TargetMode="External"/><Relationship Id="rId19" Type="http://schemas.openxmlformats.org/officeDocument/2006/relationships/hyperlink" Target="https://megatron.atlassian.net/browse/STAR-1695" TargetMode="External"/><Relationship Id="rId20" Type="http://schemas.openxmlformats.org/officeDocument/2006/relationships/hyperlink" Target="https://megatron.atlassian.net/browse/IP-1793" TargetMode="External"/><Relationship Id="rId21" Type="http://schemas.openxmlformats.org/officeDocument/2006/relationships/hyperlink" Target="https://megatron.atlassian.net/browse/MEG-19721" TargetMode="External"/><Relationship Id="rId22" Type="http://schemas.openxmlformats.org/officeDocument/2006/relationships/hyperlink" Target="https://megatron.atlassian.net/browse/MEG-19724" TargetMode="External"/><Relationship Id="rId23" Type="http://schemas.openxmlformats.org/officeDocument/2006/relationships/hyperlink" Target="https://megatron.atlassian.net/browse/MEG-20025" TargetMode="External"/><Relationship Id="rId24" Type="http://schemas.openxmlformats.org/officeDocument/2006/relationships/hyperlink" Target="https://megatron.atlassian.net/browse/MEG-20026" TargetMode="External"/><Relationship Id="rId25" Type="http://schemas.openxmlformats.org/officeDocument/2006/relationships/hyperlink" Target="https://megatron.atlassian.net/browse/CR-1027" TargetMode="External"/><Relationship Id="rId26" Type="http://schemas.openxmlformats.org/officeDocument/2006/relationships/hyperlink" Target="https://megatron.atlassian.net/browse/CR-1045" TargetMode="External"/><Relationship Id="rId27" Type="http://schemas.openxmlformats.org/officeDocument/2006/relationships/hyperlink" Target="https://megatron.atlassian.net/browse/CR-1155" TargetMode="External"/><Relationship Id="rId28" Type="http://schemas.openxmlformats.org/officeDocument/2006/relationships/hyperlink" Target="https://megatron.atlassian.net/browse/CR-1263" TargetMode="External"/><Relationship Id="rId29" Type="http://schemas.openxmlformats.org/officeDocument/2006/relationships/hyperlink" Target="https://megatron.atlassian.net/browse/CR-1268" TargetMode="External"/><Relationship Id="rId30" Type="http://schemas.openxmlformats.org/officeDocument/2006/relationships/hyperlink" Target="https://megatron.atlassian.net/browse/CR-1284" TargetMode="External"/><Relationship Id="rId31" Type="http://schemas.openxmlformats.org/officeDocument/2006/relationships/hyperlink" Target="https://megatron.atlassian.net/browse/CR-1285" TargetMode="External"/><Relationship Id="rId32" Type="http://schemas.openxmlformats.org/officeDocument/2006/relationships/hyperlink" Target="https://megatron.atlassian.net/browse/CR-1316" TargetMode="External"/><Relationship Id="rId33" Type="http://schemas.openxmlformats.org/officeDocument/2006/relationships/hyperlink" Target="https://megatron.atlassian.net/browse/CR-1338" TargetMode="External"/><Relationship Id="rId34" Type="http://schemas.openxmlformats.org/officeDocument/2006/relationships/hyperlink" Target="https://megatron.atlassian.net/browse/CR-1381" TargetMode="External"/><Relationship Id="rId35" Type="http://schemas.openxmlformats.org/officeDocument/2006/relationships/hyperlink" Target="https://megatron.atlassian.net/browse/CR-1421" TargetMode="External"/><Relationship Id="rId36" Type="http://schemas.openxmlformats.org/officeDocument/2006/relationships/hyperlink" Target="https://megatron.atlassian.net/browse/CR-859" TargetMode="External"/><Relationship Id="rId37" Type="http://schemas.openxmlformats.org/officeDocument/2006/relationships/hyperlink" Target="https://megatron.atlassian.net/browse/IP-2525" TargetMode="External"/><Relationship Id="rId38" Type="http://schemas.openxmlformats.org/officeDocument/2006/relationships/hyperlink" Target="https://megatron.atlassian.net/browse/IP-2879" TargetMode="External"/><Relationship Id="rId39" Type="http://schemas.openxmlformats.org/officeDocument/2006/relationships/hyperlink" Target="https://megatron.atlassian.net/browse/IP-3022" TargetMode="External"/><Relationship Id="rId40" Type="http://schemas.openxmlformats.org/officeDocument/2006/relationships/hyperlink" Target="https://megatron.atlassian.net/browse/IP-3170" TargetMode="External"/><Relationship Id="rId41" Type="http://schemas.openxmlformats.org/officeDocument/2006/relationships/hyperlink" Target="https://megatron.atlassian.net/browse/IR-447" TargetMode="External"/><Relationship Id="rId42" Type="http://schemas.openxmlformats.org/officeDocument/2006/relationships/hyperlink" Target="https://megatron.atlassian.net/browse/IR-450" TargetMode="External"/><Relationship Id="rId43" Type="http://schemas.openxmlformats.org/officeDocument/2006/relationships/hyperlink" Target="https://megatron.atlassian.net/browse/IR-461" TargetMode="External"/><Relationship Id="rId44" Type="http://schemas.openxmlformats.org/officeDocument/2006/relationships/hyperlink" Target="https://megatron.atlassian.net/browse/IR-481" TargetMode="External"/><Relationship Id="rId45" Type="http://schemas.openxmlformats.org/officeDocument/2006/relationships/hyperlink" Target="https://megatron.atlassian.net/browse/IR-493" TargetMode="External"/><Relationship Id="rId46" Type="http://schemas.openxmlformats.org/officeDocument/2006/relationships/hyperlink" Target="https://megatron.atlassian.net/browse/IR-494" TargetMode="External"/><Relationship Id="rId47" Type="http://schemas.openxmlformats.org/officeDocument/2006/relationships/hyperlink" Target="https://megatron.atlassian.net/browse/IR-495" TargetMode="External"/><Relationship Id="rId48" Type="http://schemas.openxmlformats.org/officeDocument/2006/relationships/hyperlink" Target="https://megatron.atlassian.net/browse/IR-496" TargetMode="External"/><Relationship Id="rId49" Type="http://schemas.openxmlformats.org/officeDocument/2006/relationships/hyperlink" Target="https://megatron.atlassian.net/browse/IR-497" TargetMode="External"/><Relationship Id="rId50" Type="http://schemas.openxmlformats.org/officeDocument/2006/relationships/hyperlink" Target="https://megatron.atlassian.net/browse/IR-812" TargetMode="External"/><Relationship Id="rId51" Type="http://schemas.openxmlformats.org/officeDocument/2006/relationships/hyperlink" Target="https://megatron.atlassian.net/browse/MEG-18880" TargetMode="External"/><Relationship Id="rId52" Type="http://schemas.openxmlformats.org/officeDocument/2006/relationships/hyperlink" Target="https://megatron.atlassian.net/browse/MEG-18920" TargetMode="External"/><Relationship Id="rId53" Type="http://schemas.openxmlformats.org/officeDocument/2006/relationships/hyperlink" Target="https://megatron.atlassian.net/browse/MEG-18923" TargetMode="External"/><Relationship Id="rId54" Type="http://schemas.openxmlformats.org/officeDocument/2006/relationships/hyperlink" Target="https://megatron.atlassian.net/browse/MEG-18924" TargetMode="External"/><Relationship Id="rId55" Type="http://schemas.openxmlformats.org/officeDocument/2006/relationships/hyperlink" Target="https://megatron.atlassian.net/browse/MEG-18925" TargetMode="External"/><Relationship Id="rId56" Type="http://schemas.openxmlformats.org/officeDocument/2006/relationships/hyperlink" Target="https://megatron.atlassian.net/browse/MEG-18926" TargetMode="External"/><Relationship Id="rId57" Type="http://schemas.openxmlformats.org/officeDocument/2006/relationships/hyperlink" Target="https://megatron.atlassian.net/browse/MEG-18927" TargetMode="External"/><Relationship Id="rId58" Type="http://schemas.openxmlformats.org/officeDocument/2006/relationships/hyperlink" Target="https://megatron.atlassian.net/browse/MEG-18928" TargetMode="External"/><Relationship Id="rId59" Type="http://schemas.openxmlformats.org/officeDocument/2006/relationships/hyperlink" Target="https://megatron.atlassian.net/browse/MEG-18929" TargetMode="External"/><Relationship Id="rId60" Type="http://schemas.openxmlformats.org/officeDocument/2006/relationships/hyperlink" Target="https://megatron.atlassian.net/browse/MEG-18931" TargetMode="External"/><Relationship Id="rId61" Type="http://schemas.openxmlformats.org/officeDocument/2006/relationships/hyperlink" Target="https://megatron.atlassian.net/browse/MEG-18932" TargetMode="External"/><Relationship Id="rId62" Type="http://schemas.openxmlformats.org/officeDocument/2006/relationships/hyperlink" Target="https://megatron.atlassian.net/browse/MEG-18933" TargetMode="External"/><Relationship Id="rId63" Type="http://schemas.openxmlformats.org/officeDocument/2006/relationships/hyperlink" Target="https://megatron.atlassian.net/browse/MEG-18934" TargetMode="External"/><Relationship Id="rId64" Type="http://schemas.openxmlformats.org/officeDocument/2006/relationships/hyperlink" Target="https://megatron.atlassian.net/browse/MEG-18937" TargetMode="External"/><Relationship Id="rId65" Type="http://schemas.openxmlformats.org/officeDocument/2006/relationships/hyperlink" Target="https://megatron.atlassian.net/browse/MEG-18938" TargetMode="External"/><Relationship Id="rId66" Type="http://schemas.openxmlformats.org/officeDocument/2006/relationships/hyperlink" Target="https://megatron.atlassian.net/browse/MEG-18939" TargetMode="External"/><Relationship Id="rId67" Type="http://schemas.openxmlformats.org/officeDocument/2006/relationships/hyperlink" Target="https://megatron.atlassian.net/browse/MEG-18941" TargetMode="External"/><Relationship Id="rId68" Type="http://schemas.openxmlformats.org/officeDocument/2006/relationships/hyperlink" Target="https://megatron.atlassian.net/browse/MEG-18942" TargetMode="External"/><Relationship Id="rId69" Type="http://schemas.openxmlformats.org/officeDocument/2006/relationships/hyperlink" Target="https://megatron.atlassian.net/browse/MEG-18943" TargetMode="External"/><Relationship Id="rId70" Type="http://schemas.openxmlformats.org/officeDocument/2006/relationships/hyperlink" Target="https://megatron.atlassian.net/browse/MEG-18945" TargetMode="External"/><Relationship Id="rId71" Type="http://schemas.openxmlformats.org/officeDocument/2006/relationships/hyperlink" Target="https://megatron.atlassian.net/browse/MEG-18947" TargetMode="External"/><Relationship Id="rId72" Type="http://schemas.openxmlformats.org/officeDocument/2006/relationships/hyperlink" Target="https://megatron.atlassian.net/browse/MEG-18948" TargetMode="External"/><Relationship Id="rId73" Type="http://schemas.openxmlformats.org/officeDocument/2006/relationships/hyperlink" Target="https://megatron.atlassian.net/browse/MEG-18955" TargetMode="External"/><Relationship Id="rId74" Type="http://schemas.openxmlformats.org/officeDocument/2006/relationships/hyperlink" Target="https://megatron.atlassian.net/browse/MEG-18956" TargetMode="External"/><Relationship Id="rId75" Type="http://schemas.openxmlformats.org/officeDocument/2006/relationships/hyperlink" Target="https://megatron.atlassian.net/browse/MEG-19147" TargetMode="External"/><Relationship Id="rId76" Type="http://schemas.openxmlformats.org/officeDocument/2006/relationships/hyperlink" Target="https://megatron.atlassian.net/browse/MEG-19158" TargetMode="External"/><Relationship Id="rId77" Type="http://schemas.openxmlformats.org/officeDocument/2006/relationships/hyperlink" Target="https://megatron.atlassian.net/browse/MEG-19192" TargetMode="External"/><Relationship Id="rId78" Type="http://schemas.openxmlformats.org/officeDocument/2006/relationships/hyperlink" Target="https://megatron.atlassian.net/browse/MEG-19200" TargetMode="External"/><Relationship Id="rId79" Type="http://schemas.openxmlformats.org/officeDocument/2006/relationships/hyperlink" Target="https://megatron.atlassian.net/browse/MEG-19224" TargetMode="External"/><Relationship Id="rId80" Type="http://schemas.openxmlformats.org/officeDocument/2006/relationships/hyperlink" Target="https://megatron.atlassian.net/browse/MEG-19225" TargetMode="External"/><Relationship Id="rId81" Type="http://schemas.openxmlformats.org/officeDocument/2006/relationships/hyperlink" Target="https://megatron.atlassian.net/browse/MEG-19226" TargetMode="External"/><Relationship Id="rId82" Type="http://schemas.openxmlformats.org/officeDocument/2006/relationships/hyperlink" Target="https://megatron.atlassian.net/browse/MEG-19263" TargetMode="External"/><Relationship Id="rId83" Type="http://schemas.openxmlformats.org/officeDocument/2006/relationships/hyperlink" Target="https://megatron.atlassian.net/browse/MEG-19299" TargetMode="External"/><Relationship Id="rId84" Type="http://schemas.openxmlformats.org/officeDocument/2006/relationships/hyperlink" Target="https://megatron.atlassian.net/browse/MEG-19365" TargetMode="External"/><Relationship Id="rId85" Type="http://schemas.openxmlformats.org/officeDocument/2006/relationships/hyperlink" Target="https://megatron.atlassian.net/browse/MEG-19374" TargetMode="External"/><Relationship Id="rId86" Type="http://schemas.openxmlformats.org/officeDocument/2006/relationships/hyperlink" Target="https://megatron.atlassian.net/browse/MEG-19418" TargetMode="External"/><Relationship Id="rId87" Type="http://schemas.openxmlformats.org/officeDocument/2006/relationships/hyperlink" Target="https://megatron.atlassian.net/browse/MEG-19440" TargetMode="External"/><Relationship Id="rId88" Type="http://schemas.openxmlformats.org/officeDocument/2006/relationships/hyperlink" Target="https://megatron.atlassian.net/browse/MEG-19585" TargetMode="External"/><Relationship Id="rId89" Type="http://schemas.openxmlformats.org/officeDocument/2006/relationships/hyperlink" Target="https://megatron.atlassian.net/browse/MEG-19598" TargetMode="External"/><Relationship Id="rId90" Type="http://schemas.openxmlformats.org/officeDocument/2006/relationships/hyperlink" Target="https://megatron.atlassian.net/browse/MEG-19699" TargetMode="External"/><Relationship Id="rId91" Type="http://schemas.openxmlformats.org/officeDocument/2006/relationships/hyperlink" Target="https://megatron.atlassian.net/browse/MEG-19718" TargetMode="External"/><Relationship Id="rId92" Type="http://schemas.openxmlformats.org/officeDocument/2006/relationships/hyperlink" Target="https://megatron.atlassian.net/browse/MEG-19856" TargetMode="External"/><Relationship Id="rId93" Type="http://schemas.openxmlformats.org/officeDocument/2006/relationships/hyperlink" Target="https://megatron.atlassian.net/browse/MEG-19857" TargetMode="External"/><Relationship Id="rId94" Type="http://schemas.openxmlformats.org/officeDocument/2006/relationships/hyperlink" Target="https://megatron.atlassian.net/browse/MEG-19944" TargetMode="External"/><Relationship Id="rId95" Type="http://schemas.openxmlformats.org/officeDocument/2006/relationships/hyperlink" Target="https://megatron.atlassian.net/browse/MEG-19964" TargetMode="External"/><Relationship Id="rId96" Type="http://schemas.openxmlformats.org/officeDocument/2006/relationships/hyperlink" Target="https://megatron.atlassian.net/browse/MEG-19970" TargetMode="External"/><Relationship Id="rId97" Type="http://schemas.openxmlformats.org/officeDocument/2006/relationships/hyperlink" Target="https://megatron.atlassian.net/browse/MEG-20087" TargetMode="External"/><Relationship Id="rId98" Type="http://schemas.openxmlformats.org/officeDocument/2006/relationships/hyperlink" Target="https://megatron.atlassian.net/browse/MEG-20143" TargetMode="External"/><Relationship Id="rId99" Type="http://schemas.openxmlformats.org/officeDocument/2006/relationships/hyperlink" Target="https://megatron.atlassian.net/browse/MEG-20230" TargetMode="External"/><Relationship Id="rId100" Type="http://schemas.openxmlformats.org/officeDocument/2006/relationships/hyperlink" Target="https://megatron.atlassian.net/browse/MEG-20231" TargetMode="External"/><Relationship Id="rId101" Type="http://schemas.openxmlformats.org/officeDocument/2006/relationships/hyperlink" Target="https://megatron.atlassian.net/browse/MEG-20232" TargetMode="External"/><Relationship Id="rId102" Type="http://schemas.openxmlformats.org/officeDocument/2006/relationships/hyperlink" Target="https://megatron.atlassian.net/browse/MEG-20233" TargetMode="External"/><Relationship Id="rId103" Type="http://schemas.openxmlformats.org/officeDocument/2006/relationships/hyperlink" Target="https://megatron.atlassian.net/browse/MEG-20234" TargetMode="External"/><Relationship Id="rId104" Type="http://schemas.openxmlformats.org/officeDocument/2006/relationships/hyperlink" Target="https://megatron.atlassian.net/browse/MEG-20235" TargetMode="External"/><Relationship Id="rId105" Type="http://schemas.openxmlformats.org/officeDocument/2006/relationships/hyperlink" Target="https://megatron.atlassian.net/browse/MEG-20236" TargetMode="External"/><Relationship Id="rId106" Type="http://schemas.openxmlformats.org/officeDocument/2006/relationships/hyperlink" Target="https://megatron.atlassian.net/browse/MEG-20237" TargetMode="External"/><Relationship Id="rId107" Type="http://schemas.openxmlformats.org/officeDocument/2006/relationships/hyperlink" Target="https://megatron.atlassian.net/browse/MEG-20238" TargetMode="External"/><Relationship Id="rId108" Type="http://schemas.openxmlformats.org/officeDocument/2006/relationships/hyperlink" Target="https://megatron.atlassian.net/browse/MEG-20239" TargetMode="External"/><Relationship Id="rId109" Type="http://schemas.openxmlformats.org/officeDocument/2006/relationships/hyperlink" Target="https://megatron.atlassian.net/browse/MEG-20240" TargetMode="External"/><Relationship Id="rId110" Type="http://schemas.openxmlformats.org/officeDocument/2006/relationships/hyperlink" Target="https://megatron.atlassian.net/browse/MEG-20294" TargetMode="External"/><Relationship Id="rId111" Type="http://schemas.openxmlformats.org/officeDocument/2006/relationships/hyperlink" Target="https://megatron.atlassian.net/browse/MEG-20318" TargetMode="External"/><Relationship Id="rId112" Type="http://schemas.openxmlformats.org/officeDocument/2006/relationships/hyperlink" Target="https://megatron.atlassian.net/browse/MEG-20724" TargetMode="External"/><Relationship Id="rId113" Type="http://schemas.openxmlformats.org/officeDocument/2006/relationships/hyperlink" Target="https://megatron.atlassian.net/browse/MEG-20726" TargetMode="External"/><Relationship Id="rId114" Type="http://schemas.openxmlformats.org/officeDocument/2006/relationships/hyperlink" Target="https://megatron.atlassian.net/browse/MEG-20812" TargetMode="External"/><Relationship Id="rId115" Type="http://schemas.openxmlformats.org/officeDocument/2006/relationships/hyperlink" Target="https://megatron.atlassian.net/browse/MEG-20813" TargetMode="External"/><Relationship Id="rId116" Type="http://schemas.openxmlformats.org/officeDocument/2006/relationships/hyperlink" Target="https://megatron.atlassian.net/browse/MEG-20945" TargetMode="External"/><Relationship Id="rId117" Type="http://schemas.openxmlformats.org/officeDocument/2006/relationships/hyperlink" Target="https://megatron.atlassian.net/browse/MEG-21328" TargetMode="External"/><Relationship Id="rId118" Type="http://schemas.openxmlformats.org/officeDocument/2006/relationships/hyperlink" Target="https://megatron.atlassian.net/browse/MEG-21782" TargetMode="External"/><Relationship Id="rId119" Type="http://schemas.openxmlformats.org/officeDocument/2006/relationships/hyperlink" Target="https://megatron.atlassian.net/browse/MEG-21937" TargetMode="External"/><Relationship Id="rId120" Type="http://schemas.openxmlformats.org/officeDocument/2006/relationships/hyperlink" Target="https://megatron.atlassian.net/browse/MEG-21938" TargetMode="External"/><Relationship Id="rId121" Type="http://schemas.openxmlformats.org/officeDocument/2006/relationships/hyperlink" Target="https://megatron.atlassian.net/browse/MEG-21939" TargetMode="External"/><Relationship Id="rId122" Type="http://schemas.openxmlformats.org/officeDocument/2006/relationships/hyperlink" Target="https://megatron.atlassian.net/browse/MEG-21979" TargetMode="External"/><Relationship Id="rId123" Type="http://schemas.openxmlformats.org/officeDocument/2006/relationships/hyperlink" Target="https://megatron.atlassian.net/browse/MEG-22118" TargetMode="External"/><Relationship Id="rId124" Type="http://schemas.openxmlformats.org/officeDocument/2006/relationships/hyperlink" Target="https://megatron.atlassian.net/browse/MEG-22141" TargetMode="External"/><Relationship Id="rId125" Type="http://schemas.openxmlformats.org/officeDocument/2006/relationships/hyperlink" Target="https://megatron.atlassian.net/browse/MEG-22234" TargetMode="External"/><Relationship Id="rId126" Type="http://schemas.openxmlformats.org/officeDocument/2006/relationships/hyperlink" Target="https://megatron.atlassian.net/browse/MEG-22495" TargetMode="External"/><Relationship Id="rId127" Type="http://schemas.openxmlformats.org/officeDocument/2006/relationships/hyperlink" Target="https://megatron.atlassian.net/browse/MEG-22540" TargetMode="External"/><Relationship Id="rId128" Type="http://schemas.openxmlformats.org/officeDocument/2006/relationships/hyperlink" Target="https://megatron.atlassian.net/browse/STAR-1689" TargetMode="External"/><Relationship Id="rId129" Type="http://schemas.openxmlformats.org/officeDocument/2006/relationships/hyperlink" Target="https://megatron.atlassian.net/browse/STAR-1696" TargetMode="External"/><Relationship Id="rId130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egatron.atlassian.net/browse/CBT-137" TargetMode="External"/><Relationship Id="rId2" Type="http://schemas.openxmlformats.org/officeDocument/2006/relationships/hyperlink" Target="https://megatron.atlassian.net/browse/CBT-85" TargetMode="External"/><Relationship Id="rId3" Type="http://schemas.openxmlformats.org/officeDocument/2006/relationships/hyperlink" Target="https://megatron.atlassian.net/browse/CBT-97" TargetMode="External"/><Relationship Id="rId4" Type="http://schemas.openxmlformats.org/officeDocument/2006/relationships/hyperlink" Target="https://megatron.atlassian.net/browse/IR-907" TargetMode="External"/><Relationship Id="rId5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I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F4" s="3" t="s">
        <v>6</v>
      </c>
      <c r="G4" s="3" t="s">
        <v>7</v>
      </c>
    </row>
    <row r="5" customFormat="false" ht="33.75" hidden="false" customHeight="true" outlineLevel="0" collapsed="false">
      <c r="A5" s="4" t="n">
        <f aca="false">COUNTA('Prod Pod'!$C$5:$C$6)+COUNTA('Other FINRA'!$C$5:$C$133)</f>
        <v>131</v>
      </c>
      <c r="B5" s="5" t="n">
        <f aca="false">COUNTIF('Prod Pod'!$C$5:$C$6,"In Progress")+COUNTIF('Other FINRA'!$C$5:$C$133,"In Progress")</f>
        <v>19</v>
      </c>
      <c r="C5" s="6" t="n">
        <f aca="false">COUNTIF('Prod Pod'!$C$5:$C$6,"Needs Analysis")+COUNTIF('Other FINRA'!$C$5:$C$133,"Needs Analysis")</f>
        <v>6</v>
      </c>
      <c r="D5" s="7" t="n">
        <f aca="false">COUNTIF('Prod Pod'!$C$5:$C$6,"To Do")+COUNTIF('Other FINRA'!$C$5:$C$133,"To Do")</f>
        <v>106</v>
      </c>
      <c r="F5" s="8" t="n">
        <f aca="false">COUNTA('Prod Pod'!$C$5:$C$6)</f>
        <v>2</v>
      </c>
      <c r="G5" s="9" t="n">
        <f aca="false">SUM('Prod Pod'!$G$5:$G$6)+SUM('Other FINRA'!$G$5:$G$133)</f>
        <v>52</v>
      </c>
    </row>
    <row r="8" customFormat="false" ht="15" hidden="false" customHeight="false" outlineLevel="0" collapsed="false">
      <c r="A8" s="10" t="s">
        <v>8</v>
      </c>
      <c r="B8" s="11" t="s">
        <v>6</v>
      </c>
      <c r="C8" s="11" t="s">
        <v>9</v>
      </c>
      <c r="D8" s="11" t="s">
        <v>10</v>
      </c>
      <c r="F8" s="12" t="s">
        <v>11</v>
      </c>
      <c r="G8" s="12" t="s">
        <v>12</v>
      </c>
      <c r="H8" s="12" t="s">
        <v>13</v>
      </c>
      <c r="I8" s="12" t="s">
        <v>14</v>
      </c>
    </row>
    <row r="9" customFormat="false" ht="15" hidden="false" customHeight="false" outlineLevel="0" collapsed="false">
      <c r="A9" s="13" t="s">
        <v>3</v>
      </c>
      <c r="B9" s="14" t="n">
        <f aca="false">COUNTIF('Prod Pod'!$C$5:$C$6,A9)</f>
        <v>0</v>
      </c>
      <c r="C9" s="14" t="n">
        <f aca="false">COUNTIF('Other FINRA'!$C$5:$C$133,A9)</f>
        <v>19</v>
      </c>
      <c r="D9" s="15" t="n">
        <f aca="false">B9+C9</f>
        <v>19</v>
      </c>
      <c r="F9" s="16" t="s">
        <v>15</v>
      </c>
      <c r="G9" s="14" t="n">
        <f aca="false">COUNTIF('Prod Pod'!$E$5:$E$6,F9)+COUNTIF('Other FINRA'!$E$5:$E$133,F9)</f>
        <v>2</v>
      </c>
      <c r="H9" s="16" t="s">
        <v>6</v>
      </c>
      <c r="I9" s="17" t="n">
        <f aca="false">SUMIF('Prod Pod'!$E$5:$E$6,F9,'Prod Pod'!$G$5:$G$6)+SUMIF('Other FINRA'!$E$5:$E$133,F9,'Other FINRA'!$G$5:$G$133)</f>
        <v>4</v>
      </c>
    </row>
    <row r="10" customFormat="false" ht="15" hidden="false" customHeight="false" outlineLevel="0" collapsed="false">
      <c r="A10" s="18" t="s">
        <v>4</v>
      </c>
      <c r="B10" s="14" t="n">
        <f aca="false">COUNTIF('Prod Pod'!$C$5:$C$6,A10)</f>
        <v>1</v>
      </c>
      <c r="C10" s="14" t="n">
        <f aca="false">COUNTIF('Other FINRA'!$C$5:$C$133,A10)</f>
        <v>5</v>
      </c>
      <c r="D10" s="15" t="n">
        <f aca="false">B10+C10</f>
        <v>6</v>
      </c>
      <c r="F10" s="19" t="s">
        <v>16</v>
      </c>
      <c r="G10" s="14" t="n">
        <f aca="false">COUNTIF('Prod Pod'!$E$5:$E$6,F10)+COUNTIF('Other FINRA'!$E$5:$E$133,F10)</f>
        <v>1</v>
      </c>
      <c r="H10" s="20" t="s">
        <v>17</v>
      </c>
      <c r="I10" s="17" t="n">
        <f aca="false">SUMIF('Prod Pod'!$E$5:$E$6,F10,'Prod Pod'!$G$5:$G$6)+SUMIF('Other FINRA'!$E$5:$E$133,F10,'Other FINRA'!$G$5:$G$133)</f>
        <v>0</v>
      </c>
    </row>
    <row r="11" customFormat="false" ht="15" hidden="false" customHeight="false" outlineLevel="0" collapsed="false">
      <c r="A11" s="21" t="s">
        <v>5</v>
      </c>
      <c r="B11" s="14" t="n">
        <f aca="false">COUNTIF('Prod Pod'!$C$5:$C$6,A11)</f>
        <v>1</v>
      </c>
      <c r="C11" s="14" t="n">
        <f aca="false">COUNTIF('Other FINRA'!$C$5:$C$133,A11)</f>
        <v>105</v>
      </c>
      <c r="D11" s="15" t="n">
        <f aca="false">B11+C11</f>
        <v>106</v>
      </c>
      <c r="F11" s="19" t="s">
        <v>18</v>
      </c>
      <c r="G11" s="14" t="n">
        <f aca="false">COUNTIF('Prod Pod'!$E$5:$E$6,F11)+COUNTIF('Other FINRA'!$E$5:$E$133,F11)</f>
        <v>8</v>
      </c>
      <c r="H11" s="20" t="s">
        <v>17</v>
      </c>
      <c r="I11" s="17" t="n">
        <f aca="false">SUMIF('Prod Pod'!$E$5:$E$6,F11,'Prod Pod'!$G$5:$G$6)+SUMIF('Other FINRA'!$E$5:$E$133,F11,'Other FINRA'!$G$5:$G$133)</f>
        <v>0</v>
      </c>
    </row>
    <row r="12" customFormat="false" ht="15" hidden="false" customHeight="false" outlineLevel="0" collapsed="false">
      <c r="A12" s="22" t="s">
        <v>10</v>
      </c>
      <c r="B12" s="23" t="n">
        <f aca="false">SUM(B9:B11)</f>
        <v>2</v>
      </c>
      <c r="C12" s="23" t="n">
        <f aca="false">SUM(C9:C11)</f>
        <v>129</v>
      </c>
      <c r="D12" s="23" t="n">
        <f aca="false">SUM(D9:D11)</f>
        <v>131</v>
      </c>
      <c r="F12" s="19" t="s">
        <v>19</v>
      </c>
      <c r="G12" s="14" t="n">
        <f aca="false">COUNTIF('Prod Pod'!$E$5:$E$6,F12)+COUNTIF('Other FINRA'!$E$5:$E$133,F12)</f>
        <v>1</v>
      </c>
      <c r="H12" s="20" t="s">
        <v>17</v>
      </c>
      <c r="I12" s="17" t="n">
        <f aca="false">SUMIF('Prod Pod'!$E$5:$E$6,F12,'Prod Pod'!$G$5:$G$6)+SUMIF('Other FINRA'!$E$5:$E$133,F12,'Other FINRA'!$G$5:$G$133)</f>
        <v>0</v>
      </c>
    </row>
    <row r="13" customFormat="false" ht="15" hidden="false" customHeight="false" outlineLevel="0" collapsed="false">
      <c r="F13" s="19" t="s">
        <v>20</v>
      </c>
      <c r="G13" s="14" t="n">
        <f aca="false">COUNTIF('Prod Pod'!$E$5:$E$6,F13)+COUNTIF('Other FINRA'!$E$5:$E$133,F13)</f>
        <v>1</v>
      </c>
      <c r="H13" s="20" t="s">
        <v>17</v>
      </c>
      <c r="I13" s="17" t="n">
        <f aca="false">SUMIF('Prod Pod'!$E$5:$E$6,F13,'Prod Pod'!$G$5:$G$6)+SUMIF('Other FINRA'!$E$5:$E$133,F13,'Other FINRA'!$G$5:$G$133)</f>
        <v>0</v>
      </c>
    </row>
    <row r="14" customFormat="false" ht="15" hidden="false" customHeight="false" outlineLevel="0" collapsed="false">
      <c r="F14" s="19" t="s">
        <v>21</v>
      </c>
      <c r="G14" s="14" t="n">
        <f aca="false">COUNTIF('Prod Pod'!$E$5:$E$6,F14)+COUNTIF('Other FINRA'!$E$5:$E$133,F14)</f>
        <v>8</v>
      </c>
      <c r="H14" s="20" t="s">
        <v>17</v>
      </c>
      <c r="I14" s="17" t="n">
        <f aca="false">SUMIF('Prod Pod'!$E$5:$E$6,F14,'Prod Pod'!$G$5:$G$6)+SUMIF('Other FINRA'!$E$5:$E$133,F14,'Other FINRA'!$G$5:$G$133)</f>
        <v>0</v>
      </c>
    </row>
    <row r="15" customFormat="false" ht="15" hidden="false" customHeight="false" outlineLevel="0" collapsed="false">
      <c r="F15" s="19" t="s">
        <v>22</v>
      </c>
      <c r="G15" s="14" t="n">
        <f aca="false">COUNTIF('Prod Pod'!$E$5:$E$6,F15)+COUNTIF('Other FINRA'!$E$5:$E$133,F15)</f>
        <v>1</v>
      </c>
      <c r="H15" s="20" t="s">
        <v>17</v>
      </c>
      <c r="I15" s="17" t="n">
        <f aca="false">SUMIF('Prod Pod'!$E$5:$E$6,F15,'Prod Pod'!$G$5:$G$6)+SUMIF('Other FINRA'!$E$5:$E$133,F15,'Other FINRA'!$G$5:$G$133)</f>
        <v>0</v>
      </c>
    </row>
    <row r="16" customFormat="false" ht="15" hidden="false" customHeight="false" outlineLevel="0" collapsed="false">
      <c r="F16" s="19" t="s">
        <v>23</v>
      </c>
      <c r="G16" s="14" t="n">
        <f aca="false">COUNTIF('Prod Pod'!$E$5:$E$6,F16)+COUNTIF('Other FINRA'!$E$5:$E$133,F16)</f>
        <v>1</v>
      </c>
      <c r="H16" s="20" t="s">
        <v>17</v>
      </c>
      <c r="I16" s="17" t="n">
        <f aca="false">SUMIF('Prod Pod'!$E$5:$E$6,F16,'Prod Pod'!$G$5:$G$6)+SUMIF('Other FINRA'!$E$5:$E$133,F16,'Other FINRA'!$G$5:$G$133)</f>
        <v>0</v>
      </c>
    </row>
    <row r="17" customFormat="false" ht="15" hidden="false" customHeight="false" outlineLevel="0" collapsed="false">
      <c r="F17" s="19" t="s">
        <v>24</v>
      </c>
      <c r="G17" s="14" t="n">
        <f aca="false">COUNTIF('Prod Pod'!$E$5:$E$6,F17)+COUNTIF('Other FINRA'!$E$5:$E$133,F17)</f>
        <v>3</v>
      </c>
      <c r="H17" s="20" t="s">
        <v>17</v>
      </c>
      <c r="I17" s="17" t="n">
        <f aca="false">SUMIF('Prod Pod'!$E$5:$E$6,F17,'Prod Pod'!$G$5:$G$6)+SUMIF('Other FINRA'!$E$5:$E$133,F17,'Other FINRA'!$G$5:$G$133)</f>
        <v>0</v>
      </c>
    </row>
    <row r="18" customFormat="false" ht="15" hidden="false" customHeight="false" outlineLevel="0" collapsed="false">
      <c r="F18" s="19" t="s">
        <v>25</v>
      </c>
      <c r="G18" s="14" t="n">
        <f aca="false">COUNTIF('Prod Pod'!$E$5:$E$6,F18)+COUNTIF('Other FINRA'!$E$5:$E$133,F18)</f>
        <v>1</v>
      </c>
      <c r="H18" s="20" t="s">
        <v>17</v>
      </c>
      <c r="I18" s="17" t="n">
        <f aca="false">SUMIF('Prod Pod'!$E$5:$E$6,F18,'Prod Pod'!$G$5:$G$6)+SUMIF('Other FINRA'!$E$5:$E$133,F18,'Other FINRA'!$G$5:$G$133)</f>
        <v>21</v>
      </c>
    </row>
    <row r="19" customFormat="false" ht="15" hidden="false" customHeight="false" outlineLevel="0" collapsed="false">
      <c r="F19" s="19" t="s">
        <v>26</v>
      </c>
      <c r="G19" s="14" t="n">
        <f aca="false">COUNTIF('Prod Pod'!$E$5:$E$6,F19)+COUNTIF('Other FINRA'!$E$5:$E$133,F19)</f>
        <v>1</v>
      </c>
      <c r="H19" s="20" t="s">
        <v>17</v>
      </c>
      <c r="I19" s="17" t="n">
        <f aca="false">SUMIF('Prod Pod'!$E$5:$E$6,F19,'Prod Pod'!$G$5:$G$6)+SUMIF('Other FINRA'!$E$5:$E$133,F19,'Other FINRA'!$G$5:$G$133)</f>
        <v>0</v>
      </c>
    </row>
    <row r="20" customFormat="false" ht="15" hidden="false" customHeight="false" outlineLevel="0" collapsed="false">
      <c r="F20" s="19" t="s">
        <v>27</v>
      </c>
      <c r="G20" s="14" t="n">
        <f aca="false">COUNTIF('Prod Pod'!$E$5:$E$6,F20)+COUNTIF('Other FINRA'!$E$5:$E$133,F20)</f>
        <v>1</v>
      </c>
      <c r="H20" s="20" t="s">
        <v>17</v>
      </c>
      <c r="I20" s="17" t="n">
        <f aca="false">SUMIF('Prod Pod'!$E$5:$E$6,F20,'Prod Pod'!$G$5:$G$6)+SUMIF('Other FINRA'!$E$5:$E$133,F20,'Other FINRA'!$G$5:$G$133)</f>
        <v>8</v>
      </c>
    </row>
    <row r="21" customFormat="false" ht="15" hidden="false" customHeight="false" outlineLevel="0" collapsed="false">
      <c r="F21" s="19" t="s">
        <v>28</v>
      </c>
      <c r="G21" s="14" t="n">
        <f aca="false">COUNTIF('Prod Pod'!$E$5:$E$6,F21)+COUNTIF('Other FINRA'!$E$5:$E$133,F21)</f>
        <v>2</v>
      </c>
      <c r="H21" s="20" t="s">
        <v>17</v>
      </c>
      <c r="I21" s="17" t="n">
        <f aca="false">SUMIF('Prod Pod'!$E$5:$E$6,F21,'Prod Pod'!$G$5:$G$6)+SUMIF('Other FINRA'!$E$5:$E$133,F21,'Other FINRA'!$G$5:$G$133)</f>
        <v>0</v>
      </c>
    </row>
    <row r="22" customFormat="false" ht="15" hidden="false" customHeight="false" outlineLevel="0" collapsed="false">
      <c r="F22" s="19" t="s">
        <v>29</v>
      </c>
      <c r="G22" s="14" t="n">
        <f aca="false">COUNTIF('Prod Pod'!$E$5:$E$6,F22)+COUNTIF('Other FINRA'!$E$5:$E$133,F22)</f>
        <v>1</v>
      </c>
      <c r="H22" s="20" t="s">
        <v>17</v>
      </c>
      <c r="I22" s="17" t="n">
        <f aca="false">SUMIF('Prod Pod'!$E$5:$E$6,F22,'Prod Pod'!$G$5:$G$6)+SUMIF('Other FINRA'!$E$5:$E$133,F22,'Other FINRA'!$G$5:$G$133)</f>
        <v>5</v>
      </c>
    </row>
    <row r="23" customFormat="false" ht="15" hidden="false" customHeight="false" outlineLevel="0" collapsed="false">
      <c r="F23" s="19" t="s">
        <v>30</v>
      </c>
      <c r="G23" s="14" t="n">
        <f aca="false">COUNTIF('Prod Pod'!$E$5:$E$6,F23)+COUNTIF('Other FINRA'!$E$5:$E$133,F23)</f>
        <v>5</v>
      </c>
      <c r="H23" s="20" t="s">
        <v>17</v>
      </c>
      <c r="I23" s="17" t="n">
        <f aca="false">SUMIF('Prod Pod'!$E$5:$E$6,F23,'Prod Pod'!$G$5:$G$6)+SUMIF('Other FINRA'!$E$5:$E$133,F23,'Other FINRA'!$G$5:$G$133)</f>
        <v>0</v>
      </c>
    </row>
    <row r="24" customFormat="false" ht="15" hidden="false" customHeight="false" outlineLevel="0" collapsed="false">
      <c r="F24" s="19" t="s">
        <v>31</v>
      </c>
      <c r="G24" s="14" t="n">
        <f aca="false">COUNTIF('Prod Pod'!$E$5:$E$6,F24)+COUNTIF('Other FINRA'!$E$5:$E$133,F24)</f>
        <v>1</v>
      </c>
      <c r="H24" s="20" t="s">
        <v>17</v>
      </c>
      <c r="I24" s="17" t="n">
        <f aca="false">SUMIF('Prod Pod'!$E$5:$E$6,F24,'Prod Pod'!$G$5:$G$6)+SUMIF('Other FINRA'!$E$5:$E$133,F24,'Other FINRA'!$G$5:$G$133)</f>
        <v>0</v>
      </c>
    </row>
    <row r="25" customFormat="false" ht="15" hidden="false" customHeight="false" outlineLevel="0" collapsed="false">
      <c r="F25" s="19" t="s">
        <v>32</v>
      </c>
      <c r="G25" s="14" t="n">
        <f aca="false">COUNTIF('Prod Pod'!$E$5:$E$6,F25)+COUNTIF('Other FINRA'!$E$5:$E$133,F25)</f>
        <v>2</v>
      </c>
      <c r="H25" s="20" t="s">
        <v>17</v>
      </c>
      <c r="I25" s="17" t="n">
        <f aca="false">SUMIF('Prod Pod'!$E$5:$E$6,F25,'Prod Pod'!$G$5:$G$6)+SUMIF('Other FINRA'!$E$5:$E$133,F25,'Other FINRA'!$G$5:$G$133)</f>
        <v>1</v>
      </c>
    </row>
    <row r="26" customFormat="false" ht="15" hidden="false" customHeight="false" outlineLevel="0" collapsed="false">
      <c r="F26" s="19" t="s">
        <v>33</v>
      </c>
      <c r="G26" s="14" t="n">
        <f aca="false">COUNTIF('Prod Pod'!$E$5:$E$6,"Unassigned")+COUNTIF('Other FINRA'!$E$5:$E$133,"Unassigned")</f>
        <v>91</v>
      </c>
      <c r="H26" s="20" t="s">
        <v>17</v>
      </c>
      <c r="I26" s="17" t="n">
        <f aca="false">SUMIF('Prod Pod'!$E$5:$E$6,F26,'Prod Pod'!$G$5:$G$6)+SUMIF('Other FINRA'!$E$5:$E$133,F26,'Other FINRA'!$G$5:$G$133)</f>
        <v>13</v>
      </c>
    </row>
    <row r="44" customFormat="false" ht="15" hidden="false" customHeight="false" outlineLevel="0" collapsed="false">
      <c r="A44" s="24" t="s">
        <v>34</v>
      </c>
    </row>
    <row r="45" customFormat="false" ht="15" hidden="false" customHeight="false" outlineLevel="0" collapsed="false">
      <c r="A45" s="25" t="s">
        <v>35</v>
      </c>
    </row>
    <row r="46" customFormat="false" ht="15" hidden="false" customHeight="false" outlineLevel="0" collapsed="false">
      <c r="A46" s="25" t="s">
        <v>36</v>
      </c>
    </row>
    <row r="47" customFormat="false" ht="15" hidden="false" customHeight="false" outlineLevel="0" collapsed="false">
      <c r="A47" s="25" t="s">
        <v>37</v>
      </c>
    </row>
    <row r="48" customFormat="false" ht="15" hidden="false" customHeight="false" outlineLevel="0" collapsed="false">
      <c r="A48" s="25" t="s">
        <v>38</v>
      </c>
    </row>
    <row r="49" customFormat="false" ht="15" hidden="false" customHeight="false" outlineLevel="0" collapsed="false">
      <c r="A49" s="25" t="s">
        <v>39</v>
      </c>
    </row>
    <row r="50" customFormat="false" ht="15" hidden="false" customHeight="false" outlineLevel="0" collapsed="false">
      <c r="A50" s="25" t="s">
        <v>40</v>
      </c>
    </row>
    <row r="51" customFormat="false" ht="15" hidden="false" customHeight="false" outlineLevel="0" collapsed="false">
      <c r="A51" s="25" t="s">
        <v>41</v>
      </c>
    </row>
    <row r="52" customFormat="false" ht="15" hidden="false" customHeight="false" outlineLevel="0" collapsed="false">
      <c r="A52" s="25" t="s">
        <v>42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48"/>
  </cols>
  <sheetData>
    <row r="1" customFormat="false" ht="30" hidden="false" customHeight="true" outlineLevel="0" collapsed="false">
      <c r="A1" s="26" t="s">
        <v>43</v>
      </c>
      <c r="B1" s="26"/>
      <c r="C1" s="26"/>
      <c r="D1" s="26"/>
      <c r="E1" s="26"/>
      <c r="F1" s="26"/>
      <c r="G1" s="26"/>
      <c r="H1" s="26"/>
    </row>
    <row r="2" customFormat="false" ht="18" hidden="false" customHeight="true" outlineLevel="0" collapsed="false">
      <c r="A2" s="27" t="s">
        <v>44</v>
      </c>
      <c r="B2" s="27"/>
      <c r="C2" s="27"/>
      <c r="D2" s="27"/>
      <c r="E2" s="27"/>
      <c r="F2" s="27"/>
      <c r="G2" s="27"/>
      <c r="H2" s="27"/>
    </row>
    <row r="4" customFormat="false" ht="21.75" hidden="false" customHeight="true" outlineLevel="0" collapsed="false">
      <c r="A4" s="28" t="s">
        <v>45</v>
      </c>
      <c r="B4" s="29" t="s">
        <v>46</v>
      </c>
      <c r="C4" s="29" t="s">
        <v>8</v>
      </c>
      <c r="D4" s="29" t="s">
        <v>47</v>
      </c>
      <c r="E4" s="29" t="s">
        <v>11</v>
      </c>
      <c r="F4" s="29" t="s">
        <v>48</v>
      </c>
      <c r="G4" s="29" t="s">
        <v>49</v>
      </c>
      <c r="H4" s="29" t="s">
        <v>50</v>
      </c>
    </row>
    <row r="5" customFormat="false" ht="23.85" hidden="false" customHeight="false" outlineLevel="0" collapsed="false">
      <c r="A5" s="30" t="s">
        <v>51</v>
      </c>
      <c r="B5" s="31" t="s">
        <v>52</v>
      </c>
      <c r="C5" s="32" t="s">
        <v>4</v>
      </c>
      <c r="D5" s="33" t="s">
        <v>15</v>
      </c>
      <c r="E5" s="34" t="s">
        <v>15</v>
      </c>
      <c r="F5" s="33" t="s">
        <v>53</v>
      </c>
      <c r="G5" s="35" t="n">
        <v>0</v>
      </c>
      <c r="H5" s="36" t="s">
        <v>54</v>
      </c>
    </row>
    <row r="6" customFormat="false" ht="15" hidden="false" customHeight="false" outlineLevel="0" collapsed="false">
      <c r="A6" s="37" t="s">
        <v>55</v>
      </c>
      <c r="B6" s="38" t="s">
        <v>56</v>
      </c>
      <c r="C6" s="39" t="s">
        <v>5</v>
      </c>
      <c r="D6" s="40" t="s">
        <v>57</v>
      </c>
      <c r="E6" s="41" t="s">
        <v>15</v>
      </c>
      <c r="F6" s="40" t="s">
        <v>58</v>
      </c>
      <c r="G6" s="42" t="n">
        <v>4</v>
      </c>
      <c r="H6" s="38"/>
    </row>
    <row r="7" customFormat="false" ht="15" hidden="false" customHeight="false" outlineLevel="0" collapsed="false">
      <c r="A7" s="43" t="s">
        <v>59</v>
      </c>
      <c r="B7" s="44"/>
      <c r="C7" s="44"/>
      <c r="D7" s="44"/>
      <c r="E7" s="44"/>
      <c r="F7" s="44"/>
      <c r="G7" s="45" t="n">
        <f aca="false">SUM(G5:G6)</f>
        <v>4</v>
      </c>
      <c r="H7" s="44"/>
    </row>
  </sheetData>
  <autoFilter ref="A4:H6"/>
  <mergeCells count="2">
    <mergeCell ref="A1:H1"/>
    <mergeCell ref="A2:H2"/>
  </mergeCells>
  <hyperlinks>
    <hyperlink ref="A5" r:id="rId1" display="IP-3012"/>
    <hyperlink ref="A6" r:id="rId2" display="IP-285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9C3"/>
    <pageSetUpPr fitToPage="true"/>
  </sheetPr>
  <dimension ref="A1:H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48"/>
  </cols>
  <sheetData>
    <row r="1" customFormat="false" ht="30" hidden="false" customHeight="true" outlineLevel="0" collapsed="false">
      <c r="A1" s="46" t="s">
        <v>60</v>
      </c>
      <c r="B1" s="46"/>
      <c r="C1" s="46"/>
      <c r="D1" s="46"/>
      <c r="E1" s="46"/>
      <c r="F1" s="46"/>
      <c r="G1" s="46"/>
      <c r="H1" s="46"/>
    </row>
    <row r="2" customFormat="false" ht="18" hidden="false" customHeight="true" outlineLevel="0" collapsed="false">
      <c r="A2" s="47" t="s">
        <v>61</v>
      </c>
      <c r="B2" s="47"/>
      <c r="C2" s="47"/>
      <c r="D2" s="47"/>
      <c r="E2" s="47"/>
      <c r="F2" s="47"/>
      <c r="G2" s="47"/>
      <c r="H2" s="47"/>
    </row>
    <row r="4" customFormat="false" ht="21.75" hidden="false" customHeight="true" outlineLevel="0" collapsed="false">
      <c r="A4" s="28" t="s">
        <v>45</v>
      </c>
      <c r="B4" s="29" t="s">
        <v>46</v>
      </c>
      <c r="C4" s="29" t="s">
        <v>8</v>
      </c>
      <c r="D4" s="29" t="s">
        <v>47</v>
      </c>
      <c r="E4" s="29" t="s">
        <v>11</v>
      </c>
      <c r="F4" s="29" t="s">
        <v>48</v>
      </c>
      <c r="G4" s="29" t="s">
        <v>49</v>
      </c>
      <c r="H4" s="29" t="s">
        <v>50</v>
      </c>
    </row>
    <row r="5" customFormat="false" ht="15" hidden="false" customHeight="false" outlineLevel="0" collapsed="false">
      <c r="A5" s="30" t="s">
        <v>62</v>
      </c>
      <c r="B5" s="31" t="s">
        <v>63</v>
      </c>
      <c r="C5" s="48" t="s">
        <v>3</v>
      </c>
      <c r="D5" s="33" t="s">
        <v>64</v>
      </c>
      <c r="E5" s="49" t="s">
        <v>33</v>
      </c>
      <c r="F5" s="33" t="s">
        <v>65</v>
      </c>
      <c r="G5" s="50" t="n">
        <v>13</v>
      </c>
      <c r="H5" s="36" t="s">
        <v>66</v>
      </c>
    </row>
    <row r="6" customFormat="false" ht="15" hidden="false" customHeight="false" outlineLevel="0" collapsed="false">
      <c r="A6" s="37" t="s">
        <v>67</v>
      </c>
      <c r="B6" s="38" t="s">
        <v>68</v>
      </c>
      <c r="C6" s="48" t="s">
        <v>3</v>
      </c>
      <c r="D6" s="40" t="s">
        <v>69</v>
      </c>
      <c r="E6" s="40" t="s">
        <v>18</v>
      </c>
      <c r="F6" s="40" t="s">
        <v>70</v>
      </c>
      <c r="G6" s="51" t="n">
        <v>0</v>
      </c>
      <c r="H6" s="52" t="s">
        <v>71</v>
      </c>
    </row>
    <row r="7" customFormat="false" ht="15" hidden="false" customHeight="false" outlineLevel="0" collapsed="false">
      <c r="A7" s="30" t="s">
        <v>72</v>
      </c>
      <c r="B7" s="31" t="s">
        <v>73</v>
      </c>
      <c r="C7" s="48" t="s">
        <v>3</v>
      </c>
      <c r="D7" s="33" t="s">
        <v>69</v>
      </c>
      <c r="E7" s="33" t="s">
        <v>20</v>
      </c>
      <c r="F7" s="33" t="s">
        <v>74</v>
      </c>
      <c r="G7" s="35" t="n">
        <v>0</v>
      </c>
      <c r="H7" s="36" t="s">
        <v>75</v>
      </c>
    </row>
    <row r="8" customFormat="false" ht="15" hidden="false" customHeight="false" outlineLevel="0" collapsed="false">
      <c r="A8" s="37" t="s">
        <v>76</v>
      </c>
      <c r="B8" s="38" t="s">
        <v>77</v>
      </c>
      <c r="C8" s="48" t="s">
        <v>3</v>
      </c>
      <c r="D8" s="40" t="s">
        <v>69</v>
      </c>
      <c r="E8" s="40" t="s">
        <v>24</v>
      </c>
      <c r="F8" s="40" t="s">
        <v>78</v>
      </c>
      <c r="G8" s="51" t="n">
        <v>0</v>
      </c>
      <c r="H8" s="52" t="s">
        <v>79</v>
      </c>
    </row>
    <row r="9" customFormat="false" ht="23.85" hidden="false" customHeight="false" outlineLevel="0" collapsed="false">
      <c r="A9" s="30" t="s">
        <v>80</v>
      </c>
      <c r="B9" s="31" t="s">
        <v>81</v>
      </c>
      <c r="C9" s="48" t="s">
        <v>3</v>
      </c>
      <c r="D9" s="33" t="s">
        <v>82</v>
      </c>
      <c r="E9" s="49" t="s">
        <v>33</v>
      </c>
      <c r="F9" s="33" t="s">
        <v>83</v>
      </c>
      <c r="G9" s="35" t="n">
        <v>0</v>
      </c>
      <c r="H9" s="36" t="s">
        <v>84</v>
      </c>
    </row>
    <row r="10" customFormat="false" ht="23.85" hidden="false" customHeight="false" outlineLevel="0" collapsed="false">
      <c r="A10" s="37" t="s">
        <v>85</v>
      </c>
      <c r="B10" s="38" t="s">
        <v>86</v>
      </c>
      <c r="C10" s="48" t="s">
        <v>3</v>
      </c>
      <c r="D10" s="40" t="s">
        <v>82</v>
      </c>
      <c r="E10" s="53" t="s">
        <v>33</v>
      </c>
      <c r="F10" s="40" t="s">
        <v>83</v>
      </c>
      <c r="G10" s="51" t="n">
        <v>0</v>
      </c>
      <c r="H10" s="52" t="s">
        <v>84</v>
      </c>
    </row>
    <row r="11" customFormat="false" ht="23.85" hidden="false" customHeight="false" outlineLevel="0" collapsed="false">
      <c r="A11" s="30" t="s">
        <v>87</v>
      </c>
      <c r="B11" s="31" t="s">
        <v>88</v>
      </c>
      <c r="C11" s="48" t="s">
        <v>3</v>
      </c>
      <c r="D11" s="33" t="s">
        <v>82</v>
      </c>
      <c r="E11" s="49" t="s">
        <v>33</v>
      </c>
      <c r="F11" s="33" t="s">
        <v>83</v>
      </c>
      <c r="G11" s="35" t="n">
        <v>0</v>
      </c>
      <c r="H11" s="36" t="s">
        <v>84</v>
      </c>
    </row>
    <row r="12" customFormat="false" ht="23.85" hidden="false" customHeight="false" outlineLevel="0" collapsed="false">
      <c r="A12" s="37" t="s">
        <v>89</v>
      </c>
      <c r="B12" s="38" t="s">
        <v>90</v>
      </c>
      <c r="C12" s="48" t="s">
        <v>3</v>
      </c>
      <c r="D12" s="40" t="s">
        <v>69</v>
      </c>
      <c r="E12" s="40" t="s">
        <v>18</v>
      </c>
      <c r="F12" s="40" t="s">
        <v>91</v>
      </c>
      <c r="G12" s="51" t="n">
        <v>0</v>
      </c>
      <c r="H12" s="52" t="s">
        <v>92</v>
      </c>
    </row>
    <row r="13" customFormat="false" ht="23.85" hidden="false" customHeight="false" outlineLevel="0" collapsed="false">
      <c r="A13" s="30" t="s">
        <v>93</v>
      </c>
      <c r="B13" s="31" t="s">
        <v>94</v>
      </c>
      <c r="C13" s="48" t="s">
        <v>3</v>
      </c>
      <c r="D13" s="33" t="s">
        <v>24</v>
      </c>
      <c r="E13" s="49" t="s">
        <v>33</v>
      </c>
      <c r="F13" s="33" t="s">
        <v>83</v>
      </c>
      <c r="G13" s="35" t="n">
        <v>0</v>
      </c>
      <c r="H13" s="36" t="s">
        <v>84</v>
      </c>
    </row>
    <row r="14" customFormat="false" ht="23.85" hidden="false" customHeight="false" outlineLevel="0" collapsed="false">
      <c r="A14" s="37" t="s">
        <v>95</v>
      </c>
      <c r="B14" s="38" t="s">
        <v>96</v>
      </c>
      <c r="C14" s="48" t="s">
        <v>3</v>
      </c>
      <c r="D14" s="40" t="s">
        <v>24</v>
      </c>
      <c r="E14" s="53" t="s">
        <v>33</v>
      </c>
      <c r="F14" s="40" t="s">
        <v>97</v>
      </c>
      <c r="G14" s="51" t="n">
        <v>0</v>
      </c>
      <c r="H14" s="52" t="s">
        <v>98</v>
      </c>
    </row>
    <row r="15" customFormat="false" ht="23.85" hidden="false" customHeight="false" outlineLevel="0" collapsed="false">
      <c r="A15" s="30" t="s">
        <v>99</v>
      </c>
      <c r="B15" s="31" t="s">
        <v>100</v>
      </c>
      <c r="C15" s="48" t="s">
        <v>3</v>
      </c>
      <c r="D15" s="33" t="s">
        <v>24</v>
      </c>
      <c r="E15" s="49" t="s">
        <v>33</v>
      </c>
      <c r="F15" s="33" t="s">
        <v>83</v>
      </c>
      <c r="G15" s="35" t="n">
        <v>0</v>
      </c>
      <c r="H15" s="36" t="s">
        <v>84</v>
      </c>
    </row>
    <row r="16" customFormat="false" ht="15" hidden="false" customHeight="false" outlineLevel="0" collapsed="false">
      <c r="A16" s="37" t="s">
        <v>101</v>
      </c>
      <c r="B16" s="38" t="s">
        <v>102</v>
      </c>
      <c r="C16" s="48" t="s">
        <v>3</v>
      </c>
      <c r="D16" s="40" t="s">
        <v>64</v>
      </c>
      <c r="E16" s="40" t="s">
        <v>25</v>
      </c>
      <c r="F16" s="40" t="s">
        <v>103</v>
      </c>
      <c r="G16" s="42" t="n">
        <v>21</v>
      </c>
      <c r="H16" s="52" t="s">
        <v>104</v>
      </c>
    </row>
    <row r="17" customFormat="false" ht="23.85" hidden="false" customHeight="false" outlineLevel="0" collapsed="false">
      <c r="A17" s="30" t="s">
        <v>105</v>
      </c>
      <c r="B17" s="31" t="s">
        <v>106</v>
      </c>
      <c r="C17" s="48" t="s">
        <v>3</v>
      </c>
      <c r="D17" s="33" t="s">
        <v>64</v>
      </c>
      <c r="E17" s="33" t="s">
        <v>29</v>
      </c>
      <c r="F17" s="33" t="s">
        <v>103</v>
      </c>
      <c r="G17" s="50" t="n">
        <v>5</v>
      </c>
      <c r="H17" s="36" t="s">
        <v>107</v>
      </c>
    </row>
    <row r="18" customFormat="false" ht="15" hidden="false" customHeight="false" outlineLevel="0" collapsed="false">
      <c r="A18" s="37" t="s">
        <v>108</v>
      </c>
      <c r="B18" s="38" t="s">
        <v>109</v>
      </c>
      <c r="C18" s="48" t="s">
        <v>3</v>
      </c>
      <c r="D18" s="40" t="s">
        <v>32</v>
      </c>
      <c r="E18" s="40" t="s">
        <v>32</v>
      </c>
      <c r="F18" s="40" t="s">
        <v>110</v>
      </c>
      <c r="G18" s="42" t="n">
        <v>1</v>
      </c>
      <c r="H18" s="52" t="s">
        <v>111</v>
      </c>
    </row>
    <row r="19" customFormat="false" ht="15" hidden="false" customHeight="false" outlineLevel="0" collapsed="false">
      <c r="A19" s="30" t="s">
        <v>112</v>
      </c>
      <c r="B19" s="31" t="s">
        <v>113</v>
      </c>
      <c r="C19" s="48" t="s">
        <v>3</v>
      </c>
      <c r="D19" s="33" t="s">
        <v>114</v>
      </c>
      <c r="E19" s="33" t="s">
        <v>30</v>
      </c>
      <c r="F19" s="33" t="s">
        <v>115</v>
      </c>
      <c r="G19" s="35" t="n">
        <v>0</v>
      </c>
      <c r="H19" s="36" t="s">
        <v>116</v>
      </c>
    </row>
    <row r="20" customFormat="false" ht="23.85" hidden="false" customHeight="false" outlineLevel="0" collapsed="false">
      <c r="A20" s="37" t="s">
        <v>117</v>
      </c>
      <c r="B20" s="38" t="s">
        <v>118</v>
      </c>
      <c r="C20" s="48" t="s">
        <v>3</v>
      </c>
      <c r="D20" s="40" t="s">
        <v>30</v>
      </c>
      <c r="E20" s="40" t="s">
        <v>30</v>
      </c>
      <c r="F20" s="40" t="s">
        <v>119</v>
      </c>
      <c r="G20" s="51" t="n">
        <v>0</v>
      </c>
      <c r="H20" s="52" t="s">
        <v>120</v>
      </c>
    </row>
    <row r="21" customFormat="false" ht="23.85" hidden="false" customHeight="false" outlineLevel="0" collapsed="false">
      <c r="A21" s="30" t="s">
        <v>121</v>
      </c>
      <c r="B21" s="31" t="s">
        <v>122</v>
      </c>
      <c r="C21" s="48" t="s">
        <v>3</v>
      </c>
      <c r="D21" s="33" t="s">
        <v>30</v>
      </c>
      <c r="E21" s="33" t="s">
        <v>30</v>
      </c>
      <c r="F21" s="33" t="s">
        <v>123</v>
      </c>
      <c r="G21" s="35" t="n">
        <v>0</v>
      </c>
      <c r="H21" s="36" t="s">
        <v>124</v>
      </c>
    </row>
    <row r="22" customFormat="false" ht="23.85" hidden="false" customHeight="false" outlineLevel="0" collapsed="false">
      <c r="A22" s="37" t="s">
        <v>125</v>
      </c>
      <c r="B22" s="38" t="s">
        <v>126</v>
      </c>
      <c r="C22" s="48" t="s">
        <v>3</v>
      </c>
      <c r="D22" s="40" t="s">
        <v>30</v>
      </c>
      <c r="E22" s="40" t="s">
        <v>30</v>
      </c>
      <c r="F22" s="40" t="s">
        <v>119</v>
      </c>
      <c r="G22" s="51" t="n">
        <v>0</v>
      </c>
      <c r="H22" s="52" t="s">
        <v>120</v>
      </c>
    </row>
    <row r="23" customFormat="false" ht="23.85" hidden="false" customHeight="false" outlineLevel="0" collapsed="false">
      <c r="A23" s="30" t="s">
        <v>127</v>
      </c>
      <c r="B23" s="31" t="s">
        <v>128</v>
      </c>
      <c r="C23" s="48" t="s">
        <v>3</v>
      </c>
      <c r="D23" s="33" t="s">
        <v>30</v>
      </c>
      <c r="E23" s="33" t="s">
        <v>30</v>
      </c>
      <c r="F23" s="33" t="s">
        <v>129</v>
      </c>
      <c r="G23" s="35" t="n">
        <v>0</v>
      </c>
      <c r="H23" s="36" t="s">
        <v>130</v>
      </c>
    </row>
    <row r="24" customFormat="false" ht="23.85" hidden="false" customHeight="false" outlineLevel="0" collapsed="false">
      <c r="A24" s="37" t="s">
        <v>131</v>
      </c>
      <c r="B24" s="38" t="s">
        <v>132</v>
      </c>
      <c r="C24" s="32" t="s">
        <v>4</v>
      </c>
      <c r="D24" s="40" t="s">
        <v>23</v>
      </c>
      <c r="E24" s="40" t="s">
        <v>16</v>
      </c>
      <c r="F24" s="40" t="s">
        <v>133</v>
      </c>
      <c r="G24" s="51" t="n">
        <v>0</v>
      </c>
      <c r="H24" s="52" t="s">
        <v>134</v>
      </c>
    </row>
    <row r="25" customFormat="false" ht="15" hidden="false" customHeight="false" outlineLevel="0" collapsed="false">
      <c r="A25" s="30" t="s">
        <v>135</v>
      </c>
      <c r="B25" s="31" t="s">
        <v>136</v>
      </c>
      <c r="C25" s="32" t="s">
        <v>4</v>
      </c>
      <c r="D25" s="33" t="s">
        <v>69</v>
      </c>
      <c r="E25" s="49" t="s">
        <v>33</v>
      </c>
      <c r="F25" s="33" t="s">
        <v>137</v>
      </c>
      <c r="G25" s="35" t="n">
        <v>0</v>
      </c>
      <c r="H25" s="36" t="s">
        <v>138</v>
      </c>
    </row>
    <row r="26" customFormat="false" ht="15" hidden="false" customHeight="false" outlineLevel="0" collapsed="false">
      <c r="A26" s="37" t="s">
        <v>139</v>
      </c>
      <c r="B26" s="38" t="s">
        <v>140</v>
      </c>
      <c r="C26" s="32" t="s">
        <v>4</v>
      </c>
      <c r="D26" s="40" t="s">
        <v>69</v>
      </c>
      <c r="E26" s="40" t="s">
        <v>24</v>
      </c>
      <c r="F26" s="40" t="s">
        <v>137</v>
      </c>
      <c r="G26" s="51" t="n">
        <v>0</v>
      </c>
      <c r="H26" s="52" t="s">
        <v>138</v>
      </c>
    </row>
    <row r="27" customFormat="false" ht="23.85" hidden="false" customHeight="false" outlineLevel="0" collapsed="false">
      <c r="A27" s="30" t="s">
        <v>141</v>
      </c>
      <c r="B27" s="31" t="s">
        <v>142</v>
      </c>
      <c r="C27" s="32" t="s">
        <v>4</v>
      </c>
      <c r="D27" s="33" t="s">
        <v>24</v>
      </c>
      <c r="E27" s="49" t="s">
        <v>33</v>
      </c>
      <c r="F27" s="33" t="s">
        <v>143</v>
      </c>
      <c r="G27" s="35" t="n">
        <v>0</v>
      </c>
      <c r="H27" s="36" t="s">
        <v>144</v>
      </c>
    </row>
    <row r="28" customFormat="false" ht="23.85" hidden="false" customHeight="false" outlineLevel="0" collapsed="false">
      <c r="A28" s="37" t="s">
        <v>145</v>
      </c>
      <c r="B28" s="38" t="s">
        <v>146</v>
      </c>
      <c r="C28" s="32" t="s">
        <v>4</v>
      </c>
      <c r="D28" s="40" t="s">
        <v>24</v>
      </c>
      <c r="E28" s="53" t="s">
        <v>33</v>
      </c>
      <c r="F28" s="40" t="s">
        <v>83</v>
      </c>
      <c r="G28" s="51" t="n">
        <v>0</v>
      </c>
      <c r="H28" s="52" t="s">
        <v>84</v>
      </c>
    </row>
    <row r="29" customFormat="false" ht="15" hidden="false" customHeight="false" outlineLevel="0" collapsed="false">
      <c r="A29" s="30" t="s">
        <v>147</v>
      </c>
      <c r="B29" s="31" t="s">
        <v>148</v>
      </c>
      <c r="C29" s="39" t="s">
        <v>5</v>
      </c>
      <c r="D29" s="33" t="s">
        <v>57</v>
      </c>
      <c r="E29" s="49" t="s">
        <v>33</v>
      </c>
      <c r="F29" s="33" t="s">
        <v>149</v>
      </c>
      <c r="G29" s="35" t="n">
        <v>0</v>
      </c>
      <c r="H29" s="36" t="s">
        <v>150</v>
      </c>
    </row>
    <row r="30" customFormat="false" ht="15" hidden="false" customHeight="false" outlineLevel="0" collapsed="false">
      <c r="A30" s="37" t="s">
        <v>151</v>
      </c>
      <c r="B30" s="38" t="s">
        <v>152</v>
      </c>
      <c r="C30" s="39" t="s">
        <v>5</v>
      </c>
      <c r="D30" s="40" t="s">
        <v>57</v>
      </c>
      <c r="E30" s="53" t="s">
        <v>33</v>
      </c>
      <c r="F30" s="40" t="s">
        <v>153</v>
      </c>
      <c r="G30" s="51" t="n">
        <v>0</v>
      </c>
      <c r="H30" s="52" t="s">
        <v>154</v>
      </c>
    </row>
    <row r="31" customFormat="false" ht="35.05" hidden="false" customHeight="false" outlineLevel="0" collapsed="false">
      <c r="A31" s="30" t="s">
        <v>155</v>
      </c>
      <c r="B31" s="31" t="s">
        <v>156</v>
      </c>
      <c r="C31" s="39" t="s">
        <v>5</v>
      </c>
      <c r="D31" s="33" t="s">
        <v>30</v>
      </c>
      <c r="E31" s="49" t="s">
        <v>33</v>
      </c>
      <c r="F31" s="33" t="s">
        <v>157</v>
      </c>
      <c r="G31" s="35" t="n">
        <v>0</v>
      </c>
      <c r="H31" s="36" t="s">
        <v>158</v>
      </c>
    </row>
    <row r="32" customFormat="false" ht="15" hidden="false" customHeight="false" outlineLevel="0" collapsed="false">
      <c r="A32" s="37" t="s">
        <v>159</v>
      </c>
      <c r="B32" s="38" t="s">
        <v>160</v>
      </c>
      <c r="C32" s="39" t="s">
        <v>5</v>
      </c>
      <c r="D32" s="40" t="s">
        <v>57</v>
      </c>
      <c r="E32" s="53" t="s">
        <v>33</v>
      </c>
      <c r="F32" s="40" t="s">
        <v>161</v>
      </c>
      <c r="G32" s="51" t="n">
        <v>0</v>
      </c>
      <c r="H32" s="52" t="s">
        <v>162</v>
      </c>
    </row>
    <row r="33" customFormat="false" ht="15" hidden="false" customHeight="false" outlineLevel="0" collapsed="false">
      <c r="A33" s="30" t="s">
        <v>163</v>
      </c>
      <c r="B33" s="31" t="s">
        <v>164</v>
      </c>
      <c r="C33" s="39" t="s">
        <v>5</v>
      </c>
      <c r="D33" s="33" t="s">
        <v>57</v>
      </c>
      <c r="E33" s="49" t="s">
        <v>33</v>
      </c>
      <c r="F33" s="33" t="s">
        <v>161</v>
      </c>
      <c r="G33" s="35" t="n">
        <v>0</v>
      </c>
      <c r="H33" s="36" t="s">
        <v>162</v>
      </c>
    </row>
    <row r="34" customFormat="false" ht="15" hidden="false" customHeight="false" outlineLevel="0" collapsed="false">
      <c r="A34" s="37" t="s">
        <v>165</v>
      </c>
      <c r="B34" s="38" t="s">
        <v>166</v>
      </c>
      <c r="C34" s="39" t="s">
        <v>5</v>
      </c>
      <c r="D34" s="40" t="s">
        <v>57</v>
      </c>
      <c r="E34" s="53" t="s">
        <v>33</v>
      </c>
      <c r="F34" s="40" t="s">
        <v>167</v>
      </c>
      <c r="G34" s="51" t="n">
        <v>0</v>
      </c>
      <c r="H34" s="52" t="s">
        <v>168</v>
      </c>
    </row>
    <row r="35" customFormat="false" ht="15" hidden="false" customHeight="false" outlineLevel="0" collapsed="false">
      <c r="A35" s="30" t="s">
        <v>169</v>
      </c>
      <c r="B35" s="31" t="s">
        <v>170</v>
      </c>
      <c r="C35" s="39" t="s">
        <v>5</v>
      </c>
      <c r="D35" s="33" t="s">
        <v>57</v>
      </c>
      <c r="E35" s="49" t="s">
        <v>33</v>
      </c>
      <c r="F35" s="33" t="s">
        <v>167</v>
      </c>
      <c r="G35" s="35" t="n">
        <v>0</v>
      </c>
      <c r="H35" s="36" t="s">
        <v>168</v>
      </c>
    </row>
    <row r="36" customFormat="false" ht="15" hidden="false" customHeight="false" outlineLevel="0" collapsed="false">
      <c r="A36" s="37" t="s">
        <v>171</v>
      </c>
      <c r="B36" s="38" t="s">
        <v>172</v>
      </c>
      <c r="C36" s="39" t="s">
        <v>5</v>
      </c>
      <c r="D36" s="40" t="s">
        <v>57</v>
      </c>
      <c r="E36" s="53" t="s">
        <v>33</v>
      </c>
      <c r="F36" s="40" t="s">
        <v>173</v>
      </c>
      <c r="G36" s="51" t="n">
        <v>0</v>
      </c>
      <c r="H36" s="38"/>
    </row>
    <row r="37" customFormat="false" ht="15" hidden="false" customHeight="false" outlineLevel="0" collapsed="false">
      <c r="A37" s="30" t="s">
        <v>174</v>
      </c>
      <c r="B37" s="31" t="s">
        <v>175</v>
      </c>
      <c r="C37" s="39" t="s">
        <v>5</v>
      </c>
      <c r="D37" s="33" t="s">
        <v>57</v>
      </c>
      <c r="E37" s="49" t="s">
        <v>33</v>
      </c>
      <c r="F37" s="33" t="s">
        <v>176</v>
      </c>
      <c r="G37" s="35" t="n">
        <v>0</v>
      </c>
      <c r="H37" s="31"/>
    </row>
    <row r="38" customFormat="false" ht="23.85" hidden="false" customHeight="false" outlineLevel="0" collapsed="false">
      <c r="A38" s="37" t="s">
        <v>177</v>
      </c>
      <c r="B38" s="38" t="s">
        <v>178</v>
      </c>
      <c r="C38" s="39" t="s">
        <v>5</v>
      </c>
      <c r="D38" s="40" t="s">
        <v>57</v>
      </c>
      <c r="E38" s="53" t="s">
        <v>33</v>
      </c>
      <c r="F38" s="40" t="s">
        <v>179</v>
      </c>
      <c r="G38" s="51" t="n">
        <v>0</v>
      </c>
      <c r="H38" s="38"/>
    </row>
    <row r="39" customFormat="false" ht="15" hidden="false" customHeight="false" outlineLevel="0" collapsed="false">
      <c r="A39" s="30" t="s">
        <v>180</v>
      </c>
      <c r="B39" s="31" t="s">
        <v>181</v>
      </c>
      <c r="C39" s="39" t="s">
        <v>5</v>
      </c>
      <c r="D39" s="33" t="s">
        <v>57</v>
      </c>
      <c r="E39" s="49" t="s">
        <v>33</v>
      </c>
      <c r="F39" s="33" t="s">
        <v>182</v>
      </c>
      <c r="G39" s="35" t="n">
        <v>0</v>
      </c>
      <c r="H39" s="31"/>
    </row>
    <row r="40" customFormat="false" ht="23.85" hidden="false" customHeight="false" outlineLevel="0" collapsed="false">
      <c r="A40" s="37" t="s">
        <v>183</v>
      </c>
      <c r="B40" s="38" t="s">
        <v>184</v>
      </c>
      <c r="C40" s="39" t="s">
        <v>5</v>
      </c>
      <c r="D40" s="40" t="s">
        <v>32</v>
      </c>
      <c r="E40" s="53" t="s">
        <v>33</v>
      </c>
      <c r="F40" s="40" t="s">
        <v>185</v>
      </c>
      <c r="G40" s="51" t="n">
        <v>0</v>
      </c>
      <c r="H40" s="52" t="s">
        <v>186</v>
      </c>
    </row>
    <row r="41" customFormat="false" ht="15" hidden="false" customHeight="false" outlineLevel="0" collapsed="false">
      <c r="A41" s="30" t="s">
        <v>187</v>
      </c>
      <c r="B41" s="31" t="s">
        <v>188</v>
      </c>
      <c r="C41" s="39" t="s">
        <v>5</v>
      </c>
      <c r="D41" s="33" t="s">
        <v>57</v>
      </c>
      <c r="E41" s="49" t="s">
        <v>33</v>
      </c>
      <c r="F41" s="33" t="s">
        <v>189</v>
      </c>
      <c r="G41" s="35" t="n">
        <v>0</v>
      </c>
      <c r="H41" s="36" t="s">
        <v>190</v>
      </c>
    </row>
    <row r="42" customFormat="false" ht="15" hidden="false" customHeight="false" outlineLevel="0" collapsed="false">
      <c r="A42" s="37" t="s">
        <v>191</v>
      </c>
      <c r="B42" s="38" t="s">
        <v>192</v>
      </c>
      <c r="C42" s="39" t="s">
        <v>5</v>
      </c>
      <c r="D42" s="40" t="s">
        <v>32</v>
      </c>
      <c r="E42" s="40" t="s">
        <v>23</v>
      </c>
      <c r="F42" s="40" t="s">
        <v>193</v>
      </c>
      <c r="G42" s="51" t="n">
        <v>0</v>
      </c>
      <c r="H42" s="52" t="s">
        <v>194</v>
      </c>
    </row>
    <row r="43" customFormat="false" ht="15" hidden="false" customHeight="false" outlineLevel="0" collapsed="false">
      <c r="A43" s="30" t="s">
        <v>195</v>
      </c>
      <c r="B43" s="31" t="s">
        <v>196</v>
      </c>
      <c r="C43" s="39" t="s">
        <v>5</v>
      </c>
      <c r="D43" s="33" t="s">
        <v>57</v>
      </c>
      <c r="E43" s="49" t="s">
        <v>33</v>
      </c>
      <c r="F43" s="33" t="s">
        <v>197</v>
      </c>
      <c r="G43" s="35" t="n">
        <v>0</v>
      </c>
      <c r="H43" s="31"/>
    </row>
    <row r="44" customFormat="false" ht="15" hidden="false" customHeight="false" outlineLevel="0" collapsed="false">
      <c r="A44" s="37" t="s">
        <v>198</v>
      </c>
      <c r="B44" s="38" t="s">
        <v>199</v>
      </c>
      <c r="C44" s="39" t="s">
        <v>5</v>
      </c>
      <c r="D44" s="40" t="s">
        <v>32</v>
      </c>
      <c r="E44" s="53" t="s">
        <v>33</v>
      </c>
      <c r="F44" s="40" t="s">
        <v>200</v>
      </c>
      <c r="G44" s="51" t="n">
        <v>0</v>
      </c>
      <c r="H44" s="38"/>
    </row>
    <row r="45" customFormat="false" ht="23.85" hidden="false" customHeight="false" outlineLevel="0" collapsed="false">
      <c r="A45" s="30" t="s">
        <v>201</v>
      </c>
      <c r="B45" s="31" t="s">
        <v>202</v>
      </c>
      <c r="C45" s="39" t="s">
        <v>5</v>
      </c>
      <c r="D45" s="33" t="s">
        <v>24</v>
      </c>
      <c r="E45" s="33" t="s">
        <v>28</v>
      </c>
      <c r="F45" s="33" t="s">
        <v>203</v>
      </c>
      <c r="G45" s="35" t="n">
        <v>0</v>
      </c>
      <c r="H45" s="36" t="s">
        <v>204</v>
      </c>
    </row>
    <row r="46" customFormat="false" ht="15" hidden="false" customHeight="false" outlineLevel="0" collapsed="false">
      <c r="A46" s="37" t="s">
        <v>205</v>
      </c>
      <c r="B46" s="38" t="s">
        <v>206</v>
      </c>
      <c r="C46" s="39" t="s">
        <v>5</v>
      </c>
      <c r="D46" s="40" t="s">
        <v>23</v>
      </c>
      <c r="E46" s="53" t="s">
        <v>33</v>
      </c>
      <c r="F46" s="40" t="s">
        <v>207</v>
      </c>
      <c r="G46" s="51" t="n">
        <v>0</v>
      </c>
      <c r="H46" s="52" t="s">
        <v>208</v>
      </c>
    </row>
    <row r="47" customFormat="false" ht="15" hidden="false" customHeight="false" outlineLevel="0" collapsed="false">
      <c r="A47" s="30" t="s">
        <v>209</v>
      </c>
      <c r="B47" s="31" t="s">
        <v>210</v>
      </c>
      <c r="C47" s="39" t="s">
        <v>5</v>
      </c>
      <c r="D47" s="33" t="s">
        <v>23</v>
      </c>
      <c r="E47" s="33" t="s">
        <v>19</v>
      </c>
      <c r="F47" s="33" t="s">
        <v>211</v>
      </c>
      <c r="G47" s="35" t="n">
        <v>0</v>
      </c>
      <c r="H47" s="36" t="s">
        <v>212</v>
      </c>
    </row>
    <row r="48" customFormat="false" ht="15" hidden="false" customHeight="false" outlineLevel="0" collapsed="false">
      <c r="A48" s="37" t="s">
        <v>213</v>
      </c>
      <c r="B48" s="38" t="s">
        <v>214</v>
      </c>
      <c r="C48" s="39" t="s">
        <v>5</v>
      </c>
      <c r="D48" s="40" t="s">
        <v>32</v>
      </c>
      <c r="E48" s="40" t="s">
        <v>22</v>
      </c>
      <c r="F48" s="40" t="s">
        <v>215</v>
      </c>
      <c r="G48" s="51" t="n">
        <v>0</v>
      </c>
      <c r="H48" s="52" t="s">
        <v>216</v>
      </c>
    </row>
    <row r="49" customFormat="false" ht="15" hidden="false" customHeight="false" outlineLevel="0" collapsed="false">
      <c r="A49" s="30" t="s">
        <v>217</v>
      </c>
      <c r="B49" s="31" t="s">
        <v>218</v>
      </c>
      <c r="C49" s="39" t="s">
        <v>5</v>
      </c>
      <c r="D49" s="33" t="s">
        <v>32</v>
      </c>
      <c r="E49" s="49" t="s">
        <v>33</v>
      </c>
      <c r="F49" s="33" t="s">
        <v>203</v>
      </c>
      <c r="G49" s="35" t="n">
        <v>0</v>
      </c>
      <c r="H49" s="36" t="s">
        <v>204</v>
      </c>
    </row>
    <row r="50" customFormat="false" ht="15" hidden="false" customHeight="false" outlineLevel="0" collapsed="false">
      <c r="A50" s="37" t="s">
        <v>219</v>
      </c>
      <c r="B50" s="38" t="s">
        <v>220</v>
      </c>
      <c r="C50" s="39" t="s">
        <v>5</v>
      </c>
      <c r="D50" s="40" t="s">
        <v>32</v>
      </c>
      <c r="E50" s="53" t="s">
        <v>33</v>
      </c>
      <c r="F50" s="40" t="s">
        <v>203</v>
      </c>
      <c r="G50" s="51" t="n">
        <v>0</v>
      </c>
      <c r="H50" s="52" t="s">
        <v>204</v>
      </c>
    </row>
    <row r="51" customFormat="false" ht="15" hidden="false" customHeight="false" outlineLevel="0" collapsed="false">
      <c r="A51" s="30" t="s">
        <v>221</v>
      </c>
      <c r="B51" s="31" t="s">
        <v>222</v>
      </c>
      <c r="C51" s="39" t="s">
        <v>5</v>
      </c>
      <c r="D51" s="33" t="s">
        <v>32</v>
      </c>
      <c r="E51" s="49" t="s">
        <v>33</v>
      </c>
      <c r="F51" s="33" t="s">
        <v>203</v>
      </c>
      <c r="G51" s="35" t="n">
        <v>0</v>
      </c>
      <c r="H51" s="36" t="s">
        <v>204</v>
      </c>
    </row>
    <row r="52" customFormat="false" ht="15" hidden="false" customHeight="false" outlineLevel="0" collapsed="false">
      <c r="A52" s="37" t="s">
        <v>223</v>
      </c>
      <c r="B52" s="38" t="s">
        <v>224</v>
      </c>
      <c r="C52" s="39" t="s">
        <v>5</v>
      </c>
      <c r="D52" s="40" t="s">
        <v>32</v>
      </c>
      <c r="E52" s="53" t="s">
        <v>33</v>
      </c>
      <c r="F52" s="40" t="s">
        <v>203</v>
      </c>
      <c r="G52" s="51" t="n">
        <v>0</v>
      </c>
      <c r="H52" s="52" t="s">
        <v>204</v>
      </c>
    </row>
    <row r="53" customFormat="false" ht="15" hidden="false" customHeight="false" outlineLevel="0" collapsed="false">
      <c r="A53" s="30" t="s">
        <v>225</v>
      </c>
      <c r="B53" s="31" t="s">
        <v>226</v>
      </c>
      <c r="C53" s="39" t="s">
        <v>5</v>
      </c>
      <c r="D53" s="33" t="s">
        <v>32</v>
      </c>
      <c r="E53" s="49" t="s">
        <v>33</v>
      </c>
      <c r="F53" s="33" t="s">
        <v>203</v>
      </c>
      <c r="G53" s="35" t="n">
        <v>0</v>
      </c>
      <c r="H53" s="36" t="s">
        <v>204</v>
      </c>
    </row>
    <row r="54" customFormat="false" ht="23.85" hidden="false" customHeight="false" outlineLevel="0" collapsed="false">
      <c r="A54" s="37" t="s">
        <v>227</v>
      </c>
      <c r="B54" s="38" t="s">
        <v>228</v>
      </c>
      <c r="C54" s="39" t="s">
        <v>5</v>
      </c>
      <c r="D54" s="40" t="s">
        <v>229</v>
      </c>
      <c r="E54" s="53" t="s">
        <v>33</v>
      </c>
      <c r="F54" s="40" t="s">
        <v>230</v>
      </c>
      <c r="G54" s="51" t="n">
        <v>0</v>
      </c>
      <c r="H54" s="52" t="s">
        <v>231</v>
      </c>
    </row>
    <row r="55" customFormat="false" ht="15" hidden="false" customHeight="false" outlineLevel="0" collapsed="false">
      <c r="A55" s="30" t="s">
        <v>232</v>
      </c>
      <c r="B55" s="31" t="s">
        <v>233</v>
      </c>
      <c r="C55" s="39" t="s">
        <v>5</v>
      </c>
      <c r="D55" s="33" t="s">
        <v>19</v>
      </c>
      <c r="E55" s="49" t="s">
        <v>33</v>
      </c>
      <c r="F55" s="33" t="s">
        <v>234</v>
      </c>
      <c r="G55" s="35" t="n">
        <v>0</v>
      </c>
      <c r="H55" s="36" t="s">
        <v>235</v>
      </c>
    </row>
    <row r="56" customFormat="false" ht="23.85" hidden="false" customHeight="false" outlineLevel="0" collapsed="false">
      <c r="A56" s="37" t="s">
        <v>236</v>
      </c>
      <c r="B56" s="38" t="s">
        <v>237</v>
      </c>
      <c r="C56" s="39" t="s">
        <v>5</v>
      </c>
      <c r="D56" s="40" t="s">
        <v>69</v>
      </c>
      <c r="E56" s="53" t="s">
        <v>33</v>
      </c>
      <c r="F56" s="40" t="s">
        <v>238</v>
      </c>
      <c r="G56" s="51" t="n">
        <v>0</v>
      </c>
      <c r="H56" s="52" t="s">
        <v>239</v>
      </c>
    </row>
    <row r="57" customFormat="false" ht="23.85" hidden="false" customHeight="false" outlineLevel="0" collapsed="false">
      <c r="A57" s="30" t="s">
        <v>240</v>
      </c>
      <c r="B57" s="31" t="s">
        <v>241</v>
      </c>
      <c r="C57" s="39" t="s">
        <v>5</v>
      </c>
      <c r="D57" s="33" t="s">
        <v>69</v>
      </c>
      <c r="E57" s="49" t="s">
        <v>33</v>
      </c>
      <c r="F57" s="33" t="s">
        <v>242</v>
      </c>
      <c r="G57" s="35" t="n">
        <v>0</v>
      </c>
      <c r="H57" s="36" t="s">
        <v>243</v>
      </c>
    </row>
    <row r="58" customFormat="false" ht="23.85" hidden="false" customHeight="false" outlineLevel="0" collapsed="false">
      <c r="A58" s="37" t="s">
        <v>244</v>
      </c>
      <c r="B58" s="38" t="s">
        <v>245</v>
      </c>
      <c r="C58" s="39" t="s">
        <v>5</v>
      </c>
      <c r="D58" s="40" t="s">
        <v>69</v>
      </c>
      <c r="E58" s="53" t="s">
        <v>33</v>
      </c>
      <c r="F58" s="40" t="s">
        <v>238</v>
      </c>
      <c r="G58" s="51" t="n">
        <v>0</v>
      </c>
      <c r="H58" s="52" t="s">
        <v>246</v>
      </c>
    </row>
    <row r="59" customFormat="false" ht="23.85" hidden="false" customHeight="false" outlineLevel="0" collapsed="false">
      <c r="A59" s="30" t="s">
        <v>247</v>
      </c>
      <c r="B59" s="31" t="s">
        <v>248</v>
      </c>
      <c r="C59" s="39" t="s">
        <v>5</v>
      </c>
      <c r="D59" s="33" t="s">
        <v>69</v>
      </c>
      <c r="E59" s="49" t="s">
        <v>33</v>
      </c>
      <c r="F59" s="33" t="s">
        <v>238</v>
      </c>
      <c r="G59" s="35" t="n">
        <v>0</v>
      </c>
      <c r="H59" s="36" t="s">
        <v>249</v>
      </c>
    </row>
    <row r="60" customFormat="false" ht="23.85" hidden="false" customHeight="false" outlineLevel="0" collapsed="false">
      <c r="A60" s="37" t="s">
        <v>250</v>
      </c>
      <c r="B60" s="38" t="s">
        <v>251</v>
      </c>
      <c r="C60" s="39" t="s">
        <v>5</v>
      </c>
      <c r="D60" s="40" t="s">
        <v>69</v>
      </c>
      <c r="E60" s="53" t="s">
        <v>33</v>
      </c>
      <c r="F60" s="40" t="s">
        <v>252</v>
      </c>
      <c r="G60" s="51" t="n">
        <v>0</v>
      </c>
      <c r="H60" s="52" t="s">
        <v>253</v>
      </c>
    </row>
    <row r="61" customFormat="false" ht="23.85" hidden="false" customHeight="false" outlineLevel="0" collapsed="false">
      <c r="A61" s="30" t="s">
        <v>254</v>
      </c>
      <c r="B61" s="31" t="s">
        <v>255</v>
      </c>
      <c r="C61" s="39" t="s">
        <v>5</v>
      </c>
      <c r="D61" s="33" t="s">
        <v>69</v>
      </c>
      <c r="E61" s="49" t="s">
        <v>33</v>
      </c>
      <c r="F61" s="33" t="s">
        <v>238</v>
      </c>
      <c r="G61" s="35" t="n">
        <v>0</v>
      </c>
      <c r="H61" s="36" t="s">
        <v>256</v>
      </c>
    </row>
    <row r="62" customFormat="false" ht="23.85" hidden="false" customHeight="false" outlineLevel="0" collapsed="false">
      <c r="A62" s="37" t="s">
        <v>257</v>
      </c>
      <c r="B62" s="38" t="s">
        <v>258</v>
      </c>
      <c r="C62" s="39" t="s">
        <v>5</v>
      </c>
      <c r="D62" s="40" t="s">
        <v>69</v>
      </c>
      <c r="E62" s="53" t="s">
        <v>33</v>
      </c>
      <c r="F62" s="40" t="s">
        <v>259</v>
      </c>
      <c r="G62" s="51" t="n">
        <v>0</v>
      </c>
      <c r="H62" s="52" t="s">
        <v>260</v>
      </c>
    </row>
    <row r="63" customFormat="false" ht="23.85" hidden="false" customHeight="false" outlineLevel="0" collapsed="false">
      <c r="A63" s="30" t="s">
        <v>261</v>
      </c>
      <c r="B63" s="31" t="s">
        <v>262</v>
      </c>
      <c r="C63" s="39" t="s">
        <v>5</v>
      </c>
      <c r="D63" s="33" t="s">
        <v>69</v>
      </c>
      <c r="E63" s="49" t="s">
        <v>33</v>
      </c>
      <c r="F63" s="33" t="s">
        <v>238</v>
      </c>
      <c r="G63" s="35" t="n">
        <v>0</v>
      </c>
      <c r="H63" s="36" t="s">
        <v>263</v>
      </c>
    </row>
    <row r="64" customFormat="false" ht="23.85" hidden="false" customHeight="false" outlineLevel="0" collapsed="false">
      <c r="A64" s="37" t="s">
        <v>264</v>
      </c>
      <c r="B64" s="38" t="s">
        <v>265</v>
      </c>
      <c r="C64" s="39" t="s">
        <v>5</v>
      </c>
      <c r="D64" s="40" t="s">
        <v>69</v>
      </c>
      <c r="E64" s="53" t="s">
        <v>33</v>
      </c>
      <c r="F64" s="40" t="s">
        <v>238</v>
      </c>
      <c r="G64" s="51" t="n">
        <v>0</v>
      </c>
      <c r="H64" s="52" t="s">
        <v>239</v>
      </c>
    </row>
    <row r="65" customFormat="false" ht="15" hidden="false" customHeight="false" outlineLevel="0" collapsed="false">
      <c r="A65" s="30" t="s">
        <v>266</v>
      </c>
      <c r="B65" s="31" t="s">
        <v>267</v>
      </c>
      <c r="C65" s="39" t="s">
        <v>5</v>
      </c>
      <c r="D65" s="33" t="s">
        <v>69</v>
      </c>
      <c r="E65" s="33" t="s">
        <v>21</v>
      </c>
      <c r="F65" s="33" t="s">
        <v>268</v>
      </c>
      <c r="G65" s="35" t="n">
        <v>0</v>
      </c>
      <c r="H65" s="36" t="s">
        <v>269</v>
      </c>
    </row>
    <row r="66" customFormat="false" ht="15" hidden="false" customHeight="false" outlineLevel="0" collapsed="false">
      <c r="A66" s="37" t="s">
        <v>270</v>
      </c>
      <c r="B66" s="38" t="s">
        <v>271</v>
      </c>
      <c r="C66" s="39" t="s">
        <v>5</v>
      </c>
      <c r="D66" s="40" t="s">
        <v>69</v>
      </c>
      <c r="E66" s="40" t="s">
        <v>21</v>
      </c>
      <c r="F66" s="40" t="s">
        <v>268</v>
      </c>
      <c r="G66" s="51" t="n">
        <v>0</v>
      </c>
      <c r="H66" s="52" t="s">
        <v>269</v>
      </c>
    </row>
    <row r="67" customFormat="false" ht="15" hidden="false" customHeight="false" outlineLevel="0" collapsed="false">
      <c r="A67" s="30" t="s">
        <v>272</v>
      </c>
      <c r="B67" s="31" t="s">
        <v>273</v>
      </c>
      <c r="C67" s="39" t="s">
        <v>5</v>
      </c>
      <c r="D67" s="33" t="s">
        <v>69</v>
      </c>
      <c r="E67" s="33" t="s">
        <v>21</v>
      </c>
      <c r="F67" s="33" t="s">
        <v>268</v>
      </c>
      <c r="G67" s="35" t="n">
        <v>0</v>
      </c>
      <c r="H67" s="36" t="s">
        <v>269</v>
      </c>
    </row>
    <row r="68" customFormat="false" ht="23.85" hidden="false" customHeight="false" outlineLevel="0" collapsed="false">
      <c r="A68" s="37" t="s">
        <v>274</v>
      </c>
      <c r="B68" s="38" t="s">
        <v>275</v>
      </c>
      <c r="C68" s="39" t="s">
        <v>5</v>
      </c>
      <c r="D68" s="40" t="s">
        <v>69</v>
      </c>
      <c r="E68" s="53" t="s">
        <v>33</v>
      </c>
      <c r="F68" s="40" t="s">
        <v>242</v>
      </c>
      <c r="G68" s="51" t="n">
        <v>0</v>
      </c>
      <c r="H68" s="52" t="s">
        <v>276</v>
      </c>
    </row>
    <row r="69" customFormat="false" ht="23.85" hidden="false" customHeight="false" outlineLevel="0" collapsed="false">
      <c r="A69" s="30" t="s">
        <v>277</v>
      </c>
      <c r="B69" s="31" t="s">
        <v>278</v>
      </c>
      <c r="C69" s="39" t="s">
        <v>5</v>
      </c>
      <c r="D69" s="33" t="s">
        <v>69</v>
      </c>
      <c r="E69" s="49" t="s">
        <v>33</v>
      </c>
      <c r="F69" s="33" t="s">
        <v>279</v>
      </c>
      <c r="G69" s="35" t="n">
        <v>0</v>
      </c>
      <c r="H69" s="36" t="s">
        <v>280</v>
      </c>
    </row>
    <row r="70" customFormat="false" ht="23.85" hidden="false" customHeight="false" outlineLevel="0" collapsed="false">
      <c r="A70" s="37" t="s">
        <v>281</v>
      </c>
      <c r="B70" s="38" t="s">
        <v>282</v>
      </c>
      <c r="C70" s="39" t="s">
        <v>5</v>
      </c>
      <c r="D70" s="40" t="s">
        <v>69</v>
      </c>
      <c r="E70" s="53" t="s">
        <v>33</v>
      </c>
      <c r="F70" s="40" t="s">
        <v>283</v>
      </c>
      <c r="G70" s="51" t="n">
        <v>0</v>
      </c>
      <c r="H70" s="52" t="s">
        <v>284</v>
      </c>
    </row>
    <row r="71" customFormat="false" ht="23.85" hidden="false" customHeight="false" outlineLevel="0" collapsed="false">
      <c r="A71" s="30" t="s">
        <v>285</v>
      </c>
      <c r="B71" s="31" t="s">
        <v>286</v>
      </c>
      <c r="C71" s="39" t="s">
        <v>5</v>
      </c>
      <c r="D71" s="33" t="s">
        <v>69</v>
      </c>
      <c r="E71" s="49" t="s">
        <v>33</v>
      </c>
      <c r="F71" s="33" t="s">
        <v>287</v>
      </c>
      <c r="G71" s="35" t="n">
        <v>0</v>
      </c>
      <c r="H71" s="36" t="s">
        <v>288</v>
      </c>
    </row>
    <row r="72" customFormat="false" ht="23.85" hidden="false" customHeight="false" outlineLevel="0" collapsed="false">
      <c r="A72" s="37" t="s">
        <v>289</v>
      </c>
      <c r="B72" s="38" t="s">
        <v>290</v>
      </c>
      <c r="C72" s="39" t="s">
        <v>5</v>
      </c>
      <c r="D72" s="40" t="s">
        <v>69</v>
      </c>
      <c r="E72" s="53" t="s">
        <v>33</v>
      </c>
      <c r="F72" s="40" t="s">
        <v>242</v>
      </c>
      <c r="G72" s="51" t="n">
        <v>0</v>
      </c>
      <c r="H72" s="52" t="s">
        <v>291</v>
      </c>
    </row>
    <row r="73" customFormat="false" ht="23.85" hidden="false" customHeight="false" outlineLevel="0" collapsed="false">
      <c r="A73" s="30" t="s">
        <v>292</v>
      </c>
      <c r="B73" s="31" t="s">
        <v>293</v>
      </c>
      <c r="C73" s="39" t="s">
        <v>5</v>
      </c>
      <c r="D73" s="33" t="s">
        <v>69</v>
      </c>
      <c r="E73" s="49" t="s">
        <v>33</v>
      </c>
      <c r="F73" s="33" t="s">
        <v>252</v>
      </c>
      <c r="G73" s="35" t="n">
        <v>0</v>
      </c>
      <c r="H73" s="36" t="s">
        <v>294</v>
      </c>
    </row>
    <row r="74" customFormat="false" ht="23.85" hidden="false" customHeight="false" outlineLevel="0" collapsed="false">
      <c r="A74" s="37" t="s">
        <v>295</v>
      </c>
      <c r="B74" s="38" t="s">
        <v>296</v>
      </c>
      <c r="C74" s="39" t="s">
        <v>5</v>
      </c>
      <c r="D74" s="40" t="s">
        <v>69</v>
      </c>
      <c r="E74" s="53" t="s">
        <v>33</v>
      </c>
      <c r="F74" s="40" t="s">
        <v>252</v>
      </c>
      <c r="G74" s="51" t="n">
        <v>0</v>
      </c>
      <c r="H74" s="52" t="s">
        <v>297</v>
      </c>
    </row>
    <row r="75" customFormat="false" ht="23.85" hidden="false" customHeight="false" outlineLevel="0" collapsed="false">
      <c r="A75" s="30" t="s">
        <v>298</v>
      </c>
      <c r="B75" s="31" t="s">
        <v>299</v>
      </c>
      <c r="C75" s="39" t="s">
        <v>5</v>
      </c>
      <c r="D75" s="33" t="s">
        <v>69</v>
      </c>
      <c r="E75" s="49" t="s">
        <v>33</v>
      </c>
      <c r="F75" s="33" t="s">
        <v>137</v>
      </c>
      <c r="G75" s="35" t="n">
        <v>0</v>
      </c>
      <c r="H75" s="36" t="s">
        <v>300</v>
      </c>
    </row>
    <row r="76" customFormat="false" ht="23.85" hidden="false" customHeight="false" outlineLevel="0" collapsed="false">
      <c r="A76" s="37" t="s">
        <v>301</v>
      </c>
      <c r="B76" s="38" t="s">
        <v>302</v>
      </c>
      <c r="C76" s="39" t="s">
        <v>5</v>
      </c>
      <c r="D76" s="40" t="s">
        <v>69</v>
      </c>
      <c r="E76" s="53" t="s">
        <v>33</v>
      </c>
      <c r="F76" s="40" t="s">
        <v>303</v>
      </c>
      <c r="G76" s="51" t="n">
        <v>0</v>
      </c>
      <c r="H76" s="52" t="s">
        <v>304</v>
      </c>
    </row>
    <row r="77" customFormat="false" ht="15" hidden="false" customHeight="false" outlineLevel="0" collapsed="false">
      <c r="A77" s="30" t="s">
        <v>305</v>
      </c>
      <c r="B77" s="31" t="s">
        <v>306</v>
      </c>
      <c r="C77" s="39" t="s">
        <v>5</v>
      </c>
      <c r="D77" s="33" t="s">
        <v>69</v>
      </c>
      <c r="E77" s="33" t="s">
        <v>21</v>
      </c>
      <c r="F77" s="33" t="s">
        <v>268</v>
      </c>
      <c r="G77" s="35" t="n">
        <v>0</v>
      </c>
      <c r="H77" s="36" t="s">
        <v>269</v>
      </c>
    </row>
    <row r="78" customFormat="false" ht="15" hidden="false" customHeight="false" outlineLevel="0" collapsed="false">
      <c r="A78" s="37" t="s">
        <v>307</v>
      </c>
      <c r="B78" s="38" t="s">
        <v>308</v>
      </c>
      <c r="C78" s="39" t="s">
        <v>5</v>
      </c>
      <c r="D78" s="40" t="s">
        <v>69</v>
      </c>
      <c r="E78" s="40" t="s">
        <v>21</v>
      </c>
      <c r="F78" s="40" t="s">
        <v>268</v>
      </c>
      <c r="G78" s="51" t="n">
        <v>0</v>
      </c>
      <c r="H78" s="52" t="s">
        <v>269</v>
      </c>
    </row>
    <row r="79" customFormat="false" ht="23.85" hidden="false" customHeight="false" outlineLevel="0" collapsed="false">
      <c r="A79" s="30" t="s">
        <v>309</v>
      </c>
      <c r="B79" s="31" t="s">
        <v>310</v>
      </c>
      <c r="C79" s="39" t="s">
        <v>5</v>
      </c>
      <c r="D79" s="33" t="s">
        <v>69</v>
      </c>
      <c r="E79" s="49" t="s">
        <v>33</v>
      </c>
      <c r="F79" s="33" t="s">
        <v>234</v>
      </c>
      <c r="G79" s="35" t="n">
        <v>0</v>
      </c>
      <c r="H79" s="36" t="s">
        <v>311</v>
      </c>
    </row>
    <row r="80" customFormat="false" ht="15" hidden="false" customHeight="false" outlineLevel="0" collapsed="false">
      <c r="A80" s="37" t="s">
        <v>312</v>
      </c>
      <c r="B80" s="38" t="s">
        <v>313</v>
      </c>
      <c r="C80" s="39" t="s">
        <v>5</v>
      </c>
      <c r="D80" s="40" t="s">
        <v>69</v>
      </c>
      <c r="E80" s="40" t="s">
        <v>21</v>
      </c>
      <c r="F80" s="40" t="s">
        <v>268</v>
      </c>
      <c r="G80" s="51" t="n">
        <v>0</v>
      </c>
      <c r="H80" s="52" t="s">
        <v>269</v>
      </c>
    </row>
    <row r="81" customFormat="false" ht="23.85" hidden="false" customHeight="false" outlineLevel="0" collapsed="false">
      <c r="A81" s="30" t="s">
        <v>314</v>
      </c>
      <c r="B81" s="31" t="s">
        <v>315</v>
      </c>
      <c r="C81" s="39" t="s">
        <v>5</v>
      </c>
      <c r="D81" s="33" t="s">
        <v>64</v>
      </c>
      <c r="E81" s="49" t="s">
        <v>33</v>
      </c>
      <c r="F81" s="33" t="s">
        <v>316</v>
      </c>
      <c r="G81" s="35" t="n">
        <v>0</v>
      </c>
      <c r="H81" s="36" t="s">
        <v>317</v>
      </c>
    </row>
    <row r="82" customFormat="false" ht="15" hidden="false" customHeight="false" outlineLevel="0" collapsed="false">
      <c r="A82" s="37" t="s">
        <v>318</v>
      </c>
      <c r="B82" s="38" t="s">
        <v>319</v>
      </c>
      <c r="C82" s="39" t="s">
        <v>5</v>
      </c>
      <c r="D82" s="40" t="s">
        <v>24</v>
      </c>
      <c r="E82" s="53" t="s">
        <v>33</v>
      </c>
      <c r="F82" s="40" t="s">
        <v>83</v>
      </c>
      <c r="G82" s="51" t="n">
        <v>0</v>
      </c>
      <c r="H82" s="52" t="s">
        <v>320</v>
      </c>
    </row>
    <row r="83" customFormat="false" ht="15" hidden="false" customHeight="false" outlineLevel="0" collapsed="false">
      <c r="A83" s="30" t="s">
        <v>321</v>
      </c>
      <c r="B83" s="31" t="s">
        <v>322</v>
      </c>
      <c r="C83" s="39" t="s">
        <v>5</v>
      </c>
      <c r="D83" s="33" t="s">
        <v>69</v>
      </c>
      <c r="E83" s="49" t="s">
        <v>33</v>
      </c>
      <c r="F83" s="33" t="s">
        <v>252</v>
      </c>
      <c r="G83" s="35" t="n">
        <v>0</v>
      </c>
      <c r="H83" s="36" t="s">
        <v>323</v>
      </c>
    </row>
    <row r="84" customFormat="false" ht="23.85" hidden="false" customHeight="false" outlineLevel="0" collapsed="false">
      <c r="A84" s="37" t="s">
        <v>324</v>
      </c>
      <c r="B84" s="38" t="s">
        <v>325</v>
      </c>
      <c r="C84" s="39" t="s">
        <v>5</v>
      </c>
      <c r="D84" s="40" t="s">
        <v>69</v>
      </c>
      <c r="E84" s="53" t="s">
        <v>33</v>
      </c>
      <c r="F84" s="40" t="s">
        <v>252</v>
      </c>
      <c r="G84" s="51" t="n">
        <v>0</v>
      </c>
      <c r="H84" s="52" t="s">
        <v>326</v>
      </c>
    </row>
    <row r="85" customFormat="false" ht="23.85" hidden="false" customHeight="false" outlineLevel="0" collapsed="false">
      <c r="A85" s="30" t="s">
        <v>327</v>
      </c>
      <c r="B85" s="31" t="s">
        <v>328</v>
      </c>
      <c r="C85" s="39" t="s">
        <v>5</v>
      </c>
      <c r="D85" s="33" t="s">
        <v>69</v>
      </c>
      <c r="E85" s="49" t="s">
        <v>33</v>
      </c>
      <c r="F85" s="33" t="s">
        <v>252</v>
      </c>
      <c r="G85" s="35" t="n">
        <v>0</v>
      </c>
      <c r="H85" s="36" t="s">
        <v>326</v>
      </c>
    </row>
    <row r="86" customFormat="false" ht="23.85" hidden="false" customHeight="false" outlineLevel="0" collapsed="false">
      <c r="A86" s="37" t="s">
        <v>329</v>
      </c>
      <c r="B86" s="38" t="s">
        <v>330</v>
      </c>
      <c r="C86" s="39" t="s">
        <v>5</v>
      </c>
      <c r="D86" s="40" t="s">
        <v>69</v>
      </c>
      <c r="E86" s="53" t="s">
        <v>33</v>
      </c>
      <c r="F86" s="40" t="s">
        <v>331</v>
      </c>
      <c r="G86" s="51" t="n">
        <v>0</v>
      </c>
      <c r="H86" s="52" t="s">
        <v>332</v>
      </c>
    </row>
    <row r="87" customFormat="false" ht="23.85" hidden="false" customHeight="false" outlineLevel="0" collapsed="false">
      <c r="A87" s="30" t="s">
        <v>333</v>
      </c>
      <c r="B87" s="31" t="s">
        <v>334</v>
      </c>
      <c r="C87" s="39" t="s">
        <v>5</v>
      </c>
      <c r="D87" s="33" t="s">
        <v>64</v>
      </c>
      <c r="E87" s="49" t="s">
        <v>33</v>
      </c>
      <c r="F87" s="33" t="s">
        <v>279</v>
      </c>
      <c r="G87" s="35" t="n">
        <v>0</v>
      </c>
      <c r="H87" s="36" t="s">
        <v>335</v>
      </c>
    </row>
    <row r="88" customFormat="false" ht="15" hidden="false" customHeight="false" outlineLevel="0" collapsed="false">
      <c r="A88" s="37" t="s">
        <v>336</v>
      </c>
      <c r="B88" s="38" t="s">
        <v>337</v>
      </c>
      <c r="C88" s="39" t="s">
        <v>5</v>
      </c>
      <c r="D88" s="40" t="s">
        <v>69</v>
      </c>
      <c r="E88" s="40" t="s">
        <v>21</v>
      </c>
      <c r="F88" s="40" t="s">
        <v>268</v>
      </c>
      <c r="G88" s="51" t="n">
        <v>0</v>
      </c>
      <c r="H88" s="52" t="s">
        <v>269</v>
      </c>
    </row>
    <row r="89" customFormat="false" ht="23.85" hidden="false" customHeight="false" outlineLevel="0" collapsed="false">
      <c r="A89" s="30" t="s">
        <v>338</v>
      </c>
      <c r="B89" s="31" t="s">
        <v>339</v>
      </c>
      <c r="C89" s="39" t="s">
        <v>5</v>
      </c>
      <c r="D89" s="33" t="s">
        <v>24</v>
      </c>
      <c r="E89" s="33" t="s">
        <v>27</v>
      </c>
      <c r="F89" s="33" t="s">
        <v>340</v>
      </c>
      <c r="G89" s="50" t="n">
        <v>8</v>
      </c>
      <c r="H89" s="36" t="s">
        <v>341</v>
      </c>
    </row>
    <row r="90" customFormat="false" ht="23.85" hidden="false" customHeight="false" outlineLevel="0" collapsed="false">
      <c r="A90" s="37" t="s">
        <v>342</v>
      </c>
      <c r="B90" s="38" t="s">
        <v>343</v>
      </c>
      <c r="C90" s="39" t="s">
        <v>5</v>
      </c>
      <c r="D90" s="40" t="s">
        <v>69</v>
      </c>
      <c r="E90" s="40" t="s">
        <v>18</v>
      </c>
      <c r="F90" s="40" t="s">
        <v>344</v>
      </c>
      <c r="G90" s="51" t="n">
        <v>0</v>
      </c>
      <c r="H90" s="52" t="s">
        <v>345</v>
      </c>
    </row>
    <row r="91" customFormat="false" ht="15" hidden="false" customHeight="false" outlineLevel="0" collapsed="false">
      <c r="A91" s="30" t="s">
        <v>346</v>
      </c>
      <c r="B91" s="31" t="s">
        <v>347</v>
      </c>
      <c r="C91" s="39" t="s">
        <v>5</v>
      </c>
      <c r="D91" s="33" t="s">
        <v>69</v>
      </c>
      <c r="E91" s="49" t="s">
        <v>33</v>
      </c>
      <c r="F91" s="33" t="s">
        <v>348</v>
      </c>
      <c r="G91" s="35" t="n">
        <v>0</v>
      </c>
      <c r="H91" s="36" t="s">
        <v>349</v>
      </c>
    </row>
    <row r="92" customFormat="false" ht="15" hidden="false" customHeight="false" outlineLevel="0" collapsed="false">
      <c r="A92" s="37" t="s">
        <v>350</v>
      </c>
      <c r="B92" s="38" t="s">
        <v>351</v>
      </c>
      <c r="C92" s="39" t="s">
        <v>5</v>
      </c>
      <c r="D92" s="40" t="s">
        <v>69</v>
      </c>
      <c r="E92" s="40" t="s">
        <v>18</v>
      </c>
      <c r="F92" s="40" t="s">
        <v>137</v>
      </c>
      <c r="G92" s="51" t="n">
        <v>0</v>
      </c>
      <c r="H92" s="52" t="s">
        <v>138</v>
      </c>
    </row>
    <row r="93" customFormat="false" ht="15" hidden="false" customHeight="false" outlineLevel="0" collapsed="false">
      <c r="A93" s="30" t="s">
        <v>352</v>
      </c>
      <c r="B93" s="31" t="s">
        <v>353</v>
      </c>
      <c r="C93" s="39" t="s">
        <v>5</v>
      </c>
      <c r="D93" s="33" t="s">
        <v>69</v>
      </c>
      <c r="E93" s="33" t="s">
        <v>18</v>
      </c>
      <c r="F93" s="33" t="s">
        <v>279</v>
      </c>
      <c r="G93" s="35" t="n">
        <v>0</v>
      </c>
      <c r="H93" s="36" t="s">
        <v>354</v>
      </c>
    </row>
    <row r="94" customFormat="false" ht="23.85" hidden="false" customHeight="false" outlineLevel="0" collapsed="false">
      <c r="A94" s="37" t="s">
        <v>355</v>
      </c>
      <c r="B94" s="38" t="s">
        <v>356</v>
      </c>
      <c r="C94" s="39" t="s">
        <v>5</v>
      </c>
      <c r="D94" s="40" t="s">
        <v>69</v>
      </c>
      <c r="E94" s="53" t="s">
        <v>33</v>
      </c>
      <c r="F94" s="40" t="s">
        <v>357</v>
      </c>
      <c r="G94" s="51" t="n">
        <v>0</v>
      </c>
      <c r="H94" s="52" t="s">
        <v>358</v>
      </c>
    </row>
    <row r="95" customFormat="false" ht="23.85" hidden="false" customHeight="false" outlineLevel="0" collapsed="false">
      <c r="A95" s="30" t="s">
        <v>359</v>
      </c>
      <c r="B95" s="31" t="s">
        <v>360</v>
      </c>
      <c r="C95" s="39" t="s">
        <v>5</v>
      </c>
      <c r="D95" s="33" t="s">
        <v>69</v>
      </c>
      <c r="E95" s="49" t="s">
        <v>33</v>
      </c>
      <c r="F95" s="33" t="s">
        <v>137</v>
      </c>
      <c r="G95" s="35" t="n">
        <v>0</v>
      </c>
      <c r="H95" s="36" t="s">
        <v>361</v>
      </c>
    </row>
    <row r="96" customFormat="false" ht="15" hidden="false" customHeight="false" outlineLevel="0" collapsed="false">
      <c r="A96" s="37" t="s">
        <v>362</v>
      </c>
      <c r="B96" s="38" t="s">
        <v>363</v>
      </c>
      <c r="C96" s="39" t="s">
        <v>5</v>
      </c>
      <c r="D96" s="40" t="s">
        <v>69</v>
      </c>
      <c r="E96" s="40" t="s">
        <v>21</v>
      </c>
      <c r="F96" s="40" t="s">
        <v>268</v>
      </c>
      <c r="G96" s="51" t="n">
        <v>0</v>
      </c>
      <c r="H96" s="52" t="s">
        <v>364</v>
      </c>
    </row>
    <row r="97" customFormat="false" ht="23.85" hidden="false" customHeight="false" outlineLevel="0" collapsed="false">
      <c r="A97" s="30" t="s">
        <v>365</v>
      </c>
      <c r="B97" s="31" t="s">
        <v>366</v>
      </c>
      <c r="C97" s="39" t="s">
        <v>5</v>
      </c>
      <c r="D97" s="33" t="s">
        <v>82</v>
      </c>
      <c r="E97" s="49" t="s">
        <v>33</v>
      </c>
      <c r="F97" s="33" t="s">
        <v>83</v>
      </c>
      <c r="G97" s="35" t="n">
        <v>0</v>
      </c>
      <c r="H97" s="36" t="s">
        <v>84</v>
      </c>
    </row>
    <row r="98" customFormat="false" ht="15" hidden="false" customHeight="false" outlineLevel="0" collapsed="false">
      <c r="A98" s="37" t="s">
        <v>367</v>
      </c>
      <c r="B98" s="38" t="s">
        <v>368</v>
      </c>
      <c r="C98" s="39" t="s">
        <v>5</v>
      </c>
      <c r="D98" s="40" t="s">
        <v>69</v>
      </c>
      <c r="E98" s="53" t="s">
        <v>33</v>
      </c>
      <c r="F98" s="40" t="s">
        <v>137</v>
      </c>
      <c r="G98" s="51" t="n">
        <v>0</v>
      </c>
      <c r="H98" s="52" t="s">
        <v>138</v>
      </c>
    </row>
    <row r="99" customFormat="false" ht="15" hidden="false" customHeight="false" outlineLevel="0" collapsed="false">
      <c r="A99" s="30" t="s">
        <v>369</v>
      </c>
      <c r="B99" s="31" t="s">
        <v>370</v>
      </c>
      <c r="C99" s="39" t="s">
        <v>5</v>
      </c>
      <c r="D99" s="33" t="s">
        <v>69</v>
      </c>
      <c r="E99" s="49" t="s">
        <v>33</v>
      </c>
      <c r="F99" s="33" t="s">
        <v>344</v>
      </c>
      <c r="G99" s="35" t="n">
        <v>0</v>
      </c>
      <c r="H99" s="36" t="s">
        <v>371</v>
      </c>
    </row>
    <row r="100" customFormat="false" ht="23.85" hidden="false" customHeight="false" outlineLevel="0" collapsed="false">
      <c r="A100" s="37" t="s">
        <v>372</v>
      </c>
      <c r="B100" s="38" t="s">
        <v>373</v>
      </c>
      <c r="C100" s="39" t="s">
        <v>5</v>
      </c>
      <c r="D100" s="40" t="s">
        <v>69</v>
      </c>
      <c r="E100" s="40" t="s">
        <v>18</v>
      </c>
      <c r="F100" s="40" t="s">
        <v>78</v>
      </c>
      <c r="G100" s="51" t="n">
        <v>0</v>
      </c>
      <c r="H100" s="52" t="s">
        <v>79</v>
      </c>
    </row>
    <row r="101" customFormat="false" ht="23.85" hidden="false" customHeight="false" outlineLevel="0" collapsed="false">
      <c r="A101" s="30" t="s">
        <v>374</v>
      </c>
      <c r="B101" s="31" t="s">
        <v>375</v>
      </c>
      <c r="C101" s="39" t="s">
        <v>5</v>
      </c>
      <c r="D101" s="33" t="s">
        <v>64</v>
      </c>
      <c r="E101" s="49" t="s">
        <v>33</v>
      </c>
      <c r="F101" s="33" t="s">
        <v>376</v>
      </c>
      <c r="G101" s="35" t="n">
        <v>0</v>
      </c>
      <c r="H101" s="36" t="s">
        <v>377</v>
      </c>
    </row>
    <row r="102" customFormat="false" ht="23.85" hidden="false" customHeight="false" outlineLevel="0" collapsed="false">
      <c r="A102" s="37" t="s">
        <v>378</v>
      </c>
      <c r="B102" s="38" t="s">
        <v>379</v>
      </c>
      <c r="C102" s="39" t="s">
        <v>5</v>
      </c>
      <c r="D102" s="40" t="s">
        <v>69</v>
      </c>
      <c r="E102" s="40" t="s">
        <v>18</v>
      </c>
      <c r="F102" s="40" t="s">
        <v>344</v>
      </c>
      <c r="G102" s="51" t="n">
        <v>0</v>
      </c>
      <c r="H102" s="52" t="s">
        <v>345</v>
      </c>
    </row>
    <row r="103" customFormat="false" ht="23.85" hidden="false" customHeight="false" outlineLevel="0" collapsed="false">
      <c r="A103" s="30" t="s">
        <v>380</v>
      </c>
      <c r="B103" s="31" t="s">
        <v>381</v>
      </c>
      <c r="C103" s="39" t="s">
        <v>5</v>
      </c>
      <c r="D103" s="33" t="s">
        <v>24</v>
      </c>
      <c r="E103" s="49" t="s">
        <v>33</v>
      </c>
      <c r="F103" s="33" t="s">
        <v>83</v>
      </c>
      <c r="G103" s="35" t="n">
        <v>0</v>
      </c>
      <c r="H103" s="36" t="s">
        <v>84</v>
      </c>
    </row>
    <row r="104" customFormat="false" ht="23.85" hidden="false" customHeight="false" outlineLevel="0" collapsed="false">
      <c r="A104" s="37" t="s">
        <v>382</v>
      </c>
      <c r="B104" s="38" t="s">
        <v>383</v>
      </c>
      <c r="C104" s="39" t="s">
        <v>5</v>
      </c>
      <c r="D104" s="40" t="s">
        <v>24</v>
      </c>
      <c r="E104" s="53" t="s">
        <v>33</v>
      </c>
      <c r="F104" s="40" t="s">
        <v>83</v>
      </c>
      <c r="G104" s="51" t="n">
        <v>0</v>
      </c>
      <c r="H104" s="52" t="s">
        <v>84</v>
      </c>
    </row>
    <row r="105" customFormat="false" ht="23.85" hidden="false" customHeight="false" outlineLevel="0" collapsed="false">
      <c r="A105" s="30" t="s">
        <v>384</v>
      </c>
      <c r="B105" s="31" t="s">
        <v>385</v>
      </c>
      <c r="C105" s="39" t="s">
        <v>5</v>
      </c>
      <c r="D105" s="33" t="s">
        <v>24</v>
      </c>
      <c r="E105" s="49" t="s">
        <v>33</v>
      </c>
      <c r="F105" s="33" t="s">
        <v>83</v>
      </c>
      <c r="G105" s="35" t="n">
        <v>0</v>
      </c>
      <c r="H105" s="36" t="s">
        <v>84</v>
      </c>
    </row>
    <row r="106" customFormat="false" ht="35.05" hidden="false" customHeight="false" outlineLevel="0" collapsed="false">
      <c r="A106" s="37" t="s">
        <v>386</v>
      </c>
      <c r="B106" s="38" t="s">
        <v>387</v>
      </c>
      <c r="C106" s="39" t="s">
        <v>5</v>
      </c>
      <c r="D106" s="40" t="s">
        <v>24</v>
      </c>
      <c r="E106" s="53" t="s">
        <v>33</v>
      </c>
      <c r="F106" s="40" t="s">
        <v>388</v>
      </c>
      <c r="G106" s="51" t="n">
        <v>0</v>
      </c>
      <c r="H106" s="52" t="s">
        <v>389</v>
      </c>
    </row>
    <row r="107" customFormat="false" ht="35.05" hidden="false" customHeight="false" outlineLevel="0" collapsed="false">
      <c r="A107" s="30" t="s">
        <v>390</v>
      </c>
      <c r="B107" s="31" t="s">
        <v>391</v>
      </c>
      <c r="C107" s="39" t="s">
        <v>5</v>
      </c>
      <c r="D107" s="33" t="s">
        <v>24</v>
      </c>
      <c r="E107" s="49" t="s">
        <v>33</v>
      </c>
      <c r="F107" s="33" t="s">
        <v>388</v>
      </c>
      <c r="G107" s="35" t="n">
        <v>0</v>
      </c>
      <c r="H107" s="36" t="s">
        <v>389</v>
      </c>
    </row>
    <row r="108" customFormat="false" ht="23.85" hidden="false" customHeight="false" outlineLevel="0" collapsed="false">
      <c r="A108" s="37" t="s">
        <v>392</v>
      </c>
      <c r="B108" s="38" t="s">
        <v>393</v>
      </c>
      <c r="C108" s="39" t="s">
        <v>5</v>
      </c>
      <c r="D108" s="40" t="s">
        <v>24</v>
      </c>
      <c r="E108" s="53" t="s">
        <v>33</v>
      </c>
      <c r="F108" s="40" t="s">
        <v>388</v>
      </c>
      <c r="G108" s="51" t="n">
        <v>0</v>
      </c>
      <c r="H108" s="52" t="s">
        <v>389</v>
      </c>
    </row>
    <row r="109" customFormat="false" ht="23.85" hidden="false" customHeight="false" outlineLevel="0" collapsed="false">
      <c r="A109" s="30" t="s">
        <v>394</v>
      </c>
      <c r="B109" s="31" t="s">
        <v>395</v>
      </c>
      <c r="C109" s="39" t="s">
        <v>5</v>
      </c>
      <c r="D109" s="33" t="s">
        <v>24</v>
      </c>
      <c r="E109" s="49" t="s">
        <v>33</v>
      </c>
      <c r="F109" s="33" t="s">
        <v>388</v>
      </c>
      <c r="G109" s="35" t="n">
        <v>0</v>
      </c>
      <c r="H109" s="36" t="s">
        <v>389</v>
      </c>
    </row>
    <row r="110" customFormat="false" ht="23.85" hidden="false" customHeight="false" outlineLevel="0" collapsed="false">
      <c r="A110" s="37" t="s">
        <v>396</v>
      </c>
      <c r="B110" s="38" t="s">
        <v>397</v>
      </c>
      <c r="C110" s="39" t="s">
        <v>5</v>
      </c>
      <c r="D110" s="40" t="s">
        <v>24</v>
      </c>
      <c r="E110" s="53" t="s">
        <v>33</v>
      </c>
      <c r="F110" s="40" t="s">
        <v>83</v>
      </c>
      <c r="G110" s="51" t="n">
        <v>0</v>
      </c>
      <c r="H110" s="52" t="s">
        <v>84</v>
      </c>
    </row>
    <row r="111" customFormat="false" ht="23.85" hidden="false" customHeight="false" outlineLevel="0" collapsed="false">
      <c r="A111" s="30" t="s">
        <v>398</v>
      </c>
      <c r="B111" s="31" t="s">
        <v>399</v>
      </c>
      <c r="C111" s="39" t="s">
        <v>5</v>
      </c>
      <c r="D111" s="33" t="s">
        <v>24</v>
      </c>
      <c r="E111" s="49" t="s">
        <v>33</v>
      </c>
      <c r="F111" s="33" t="s">
        <v>83</v>
      </c>
      <c r="G111" s="35" t="n">
        <v>0</v>
      </c>
      <c r="H111" s="36" t="s">
        <v>84</v>
      </c>
    </row>
    <row r="112" customFormat="false" ht="46.25" hidden="false" customHeight="false" outlineLevel="0" collapsed="false">
      <c r="A112" s="37" t="s">
        <v>400</v>
      </c>
      <c r="B112" s="38" t="s">
        <v>401</v>
      </c>
      <c r="C112" s="39" t="s">
        <v>5</v>
      </c>
      <c r="D112" s="40" t="s">
        <v>24</v>
      </c>
      <c r="E112" s="53" t="s">
        <v>33</v>
      </c>
      <c r="F112" s="40" t="s">
        <v>83</v>
      </c>
      <c r="G112" s="51" t="n">
        <v>0</v>
      </c>
      <c r="H112" s="52" t="s">
        <v>84</v>
      </c>
    </row>
    <row r="113" customFormat="false" ht="46.25" hidden="false" customHeight="false" outlineLevel="0" collapsed="false">
      <c r="A113" s="30" t="s">
        <v>402</v>
      </c>
      <c r="B113" s="31" t="s">
        <v>403</v>
      </c>
      <c r="C113" s="39" t="s">
        <v>5</v>
      </c>
      <c r="D113" s="33" t="s">
        <v>24</v>
      </c>
      <c r="E113" s="49" t="s">
        <v>33</v>
      </c>
      <c r="F113" s="33" t="s">
        <v>97</v>
      </c>
      <c r="G113" s="35" t="n">
        <v>0</v>
      </c>
      <c r="H113" s="36" t="s">
        <v>98</v>
      </c>
    </row>
    <row r="114" customFormat="false" ht="15" hidden="false" customHeight="false" outlineLevel="0" collapsed="false">
      <c r="A114" s="37" t="s">
        <v>404</v>
      </c>
      <c r="B114" s="38" t="s">
        <v>405</v>
      </c>
      <c r="C114" s="39" t="s">
        <v>5</v>
      </c>
      <c r="D114" s="40" t="s">
        <v>24</v>
      </c>
      <c r="E114" s="40" t="s">
        <v>26</v>
      </c>
      <c r="F114" s="40" t="s">
        <v>83</v>
      </c>
      <c r="G114" s="51" t="n">
        <v>0</v>
      </c>
      <c r="H114" s="52" t="s">
        <v>406</v>
      </c>
    </row>
    <row r="115" customFormat="false" ht="23.85" hidden="false" customHeight="false" outlineLevel="0" collapsed="false">
      <c r="A115" s="30" t="s">
        <v>407</v>
      </c>
      <c r="B115" s="31" t="s">
        <v>408</v>
      </c>
      <c r="C115" s="39" t="s">
        <v>5</v>
      </c>
      <c r="D115" s="33" t="s">
        <v>24</v>
      </c>
      <c r="E115" s="49" t="s">
        <v>33</v>
      </c>
      <c r="F115" s="33" t="s">
        <v>83</v>
      </c>
      <c r="G115" s="35" t="n">
        <v>0</v>
      </c>
      <c r="H115" s="36" t="s">
        <v>84</v>
      </c>
    </row>
    <row r="116" customFormat="false" ht="15" hidden="false" customHeight="false" outlineLevel="0" collapsed="false">
      <c r="A116" s="37" t="s">
        <v>409</v>
      </c>
      <c r="B116" s="38" t="s">
        <v>319</v>
      </c>
      <c r="C116" s="39" t="s">
        <v>5</v>
      </c>
      <c r="D116" s="40" t="s">
        <v>24</v>
      </c>
      <c r="E116" s="40" t="s">
        <v>24</v>
      </c>
      <c r="F116" s="40" t="s">
        <v>83</v>
      </c>
      <c r="G116" s="51" t="n">
        <v>0</v>
      </c>
      <c r="H116" s="52" t="s">
        <v>406</v>
      </c>
    </row>
    <row r="117" customFormat="false" ht="15" hidden="false" customHeight="false" outlineLevel="0" collapsed="false">
      <c r="A117" s="30" t="s">
        <v>410</v>
      </c>
      <c r="B117" s="31" t="s">
        <v>411</v>
      </c>
      <c r="C117" s="39" t="s">
        <v>5</v>
      </c>
      <c r="D117" s="33" t="s">
        <v>24</v>
      </c>
      <c r="E117" s="49" t="s">
        <v>33</v>
      </c>
      <c r="F117" s="33" t="s">
        <v>83</v>
      </c>
      <c r="G117" s="35" t="n">
        <v>0</v>
      </c>
      <c r="H117" s="36" t="s">
        <v>412</v>
      </c>
    </row>
    <row r="118" customFormat="false" ht="15" hidden="false" customHeight="false" outlineLevel="0" collapsed="false">
      <c r="A118" s="37" t="s">
        <v>413</v>
      </c>
      <c r="B118" s="38" t="s">
        <v>414</v>
      </c>
      <c r="C118" s="39" t="s">
        <v>5</v>
      </c>
      <c r="D118" s="40" t="s">
        <v>82</v>
      </c>
      <c r="E118" s="53" t="s">
        <v>33</v>
      </c>
      <c r="F118" s="40" t="s">
        <v>83</v>
      </c>
      <c r="G118" s="51" t="n">
        <v>0</v>
      </c>
      <c r="H118" s="52" t="s">
        <v>415</v>
      </c>
    </row>
    <row r="119" customFormat="false" ht="15" hidden="false" customHeight="false" outlineLevel="0" collapsed="false">
      <c r="A119" s="30" t="s">
        <v>416</v>
      </c>
      <c r="B119" s="31" t="s">
        <v>417</v>
      </c>
      <c r="C119" s="39" t="s">
        <v>5</v>
      </c>
      <c r="D119" s="33" t="s">
        <v>82</v>
      </c>
      <c r="E119" s="49" t="s">
        <v>33</v>
      </c>
      <c r="F119" s="33" t="s">
        <v>143</v>
      </c>
      <c r="G119" s="35" t="n">
        <v>0</v>
      </c>
      <c r="H119" s="36" t="s">
        <v>418</v>
      </c>
    </row>
    <row r="120" customFormat="false" ht="23.85" hidden="false" customHeight="false" outlineLevel="0" collapsed="false">
      <c r="A120" s="37" t="s">
        <v>419</v>
      </c>
      <c r="B120" s="38" t="s">
        <v>420</v>
      </c>
      <c r="C120" s="39" t="s">
        <v>5</v>
      </c>
      <c r="D120" s="40" t="s">
        <v>64</v>
      </c>
      <c r="E120" s="53" t="s">
        <v>33</v>
      </c>
      <c r="F120" s="40" t="s">
        <v>78</v>
      </c>
      <c r="G120" s="51" t="n">
        <v>0</v>
      </c>
      <c r="H120" s="52" t="s">
        <v>421</v>
      </c>
    </row>
    <row r="121" customFormat="false" ht="15" hidden="false" customHeight="false" outlineLevel="0" collapsed="false">
      <c r="A121" s="30" t="s">
        <v>422</v>
      </c>
      <c r="B121" s="31" t="s">
        <v>423</v>
      </c>
      <c r="C121" s="39" t="s">
        <v>5</v>
      </c>
      <c r="D121" s="33" t="s">
        <v>19</v>
      </c>
      <c r="E121" s="33" t="s">
        <v>18</v>
      </c>
      <c r="F121" s="33" t="s">
        <v>424</v>
      </c>
      <c r="G121" s="35" t="n">
        <v>0</v>
      </c>
      <c r="H121" s="36" t="s">
        <v>425</v>
      </c>
    </row>
    <row r="122" customFormat="false" ht="15" hidden="false" customHeight="false" outlineLevel="0" collapsed="false">
      <c r="A122" s="37" t="s">
        <v>426</v>
      </c>
      <c r="B122" s="38" t="s">
        <v>427</v>
      </c>
      <c r="C122" s="39" t="s">
        <v>5</v>
      </c>
      <c r="D122" s="40" t="s">
        <v>26</v>
      </c>
      <c r="E122" s="53" t="s">
        <v>33</v>
      </c>
      <c r="F122" s="40" t="s">
        <v>123</v>
      </c>
      <c r="G122" s="51" t="n">
        <v>0</v>
      </c>
      <c r="H122" s="52" t="s">
        <v>428</v>
      </c>
    </row>
    <row r="123" customFormat="false" ht="15" hidden="false" customHeight="false" outlineLevel="0" collapsed="false">
      <c r="A123" s="30" t="s">
        <v>429</v>
      </c>
      <c r="B123" s="31" t="s">
        <v>430</v>
      </c>
      <c r="C123" s="39" t="s">
        <v>5</v>
      </c>
      <c r="D123" s="33" t="s">
        <v>24</v>
      </c>
      <c r="E123" s="49" t="s">
        <v>33</v>
      </c>
      <c r="F123" s="33" t="s">
        <v>83</v>
      </c>
      <c r="G123" s="35" t="n">
        <v>0</v>
      </c>
      <c r="H123" s="36" t="s">
        <v>431</v>
      </c>
    </row>
    <row r="124" customFormat="false" ht="15" hidden="false" customHeight="false" outlineLevel="0" collapsed="false">
      <c r="A124" s="37" t="s">
        <v>432</v>
      </c>
      <c r="B124" s="38" t="s">
        <v>433</v>
      </c>
      <c r="C124" s="39" t="s">
        <v>5</v>
      </c>
      <c r="D124" s="40" t="s">
        <v>24</v>
      </c>
      <c r="E124" s="53" t="s">
        <v>33</v>
      </c>
      <c r="F124" s="40" t="s">
        <v>83</v>
      </c>
      <c r="G124" s="51" t="n">
        <v>0</v>
      </c>
      <c r="H124" s="52" t="s">
        <v>434</v>
      </c>
    </row>
    <row r="125" customFormat="false" ht="15" hidden="false" customHeight="false" outlineLevel="0" collapsed="false">
      <c r="A125" s="30" t="s">
        <v>435</v>
      </c>
      <c r="B125" s="31" t="s">
        <v>436</v>
      </c>
      <c r="C125" s="39" t="s">
        <v>5</v>
      </c>
      <c r="D125" s="33" t="s">
        <v>24</v>
      </c>
      <c r="E125" s="49" t="s">
        <v>33</v>
      </c>
      <c r="F125" s="33" t="s">
        <v>437</v>
      </c>
      <c r="G125" s="35" t="n">
        <v>0</v>
      </c>
      <c r="H125" s="36" t="s">
        <v>438</v>
      </c>
    </row>
    <row r="126" customFormat="false" ht="15" hidden="false" customHeight="false" outlineLevel="0" collapsed="false">
      <c r="A126" s="37" t="s">
        <v>439</v>
      </c>
      <c r="B126" s="38" t="s">
        <v>440</v>
      </c>
      <c r="C126" s="39" t="s">
        <v>5</v>
      </c>
      <c r="D126" s="40" t="s">
        <v>24</v>
      </c>
      <c r="E126" s="53" t="s">
        <v>33</v>
      </c>
      <c r="F126" s="40" t="s">
        <v>83</v>
      </c>
      <c r="G126" s="51" t="n">
        <v>0</v>
      </c>
      <c r="H126" s="52" t="s">
        <v>406</v>
      </c>
    </row>
    <row r="127" customFormat="false" ht="15" hidden="false" customHeight="false" outlineLevel="0" collapsed="false">
      <c r="A127" s="30" t="s">
        <v>441</v>
      </c>
      <c r="B127" s="31" t="s">
        <v>442</v>
      </c>
      <c r="C127" s="39" t="s">
        <v>5</v>
      </c>
      <c r="D127" s="33" t="s">
        <v>19</v>
      </c>
      <c r="E127" s="49" t="s">
        <v>33</v>
      </c>
      <c r="F127" s="33" t="s">
        <v>443</v>
      </c>
      <c r="G127" s="35" t="n">
        <v>0</v>
      </c>
      <c r="H127" s="36" t="s">
        <v>444</v>
      </c>
    </row>
    <row r="128" customFormat="false" ht="15" hidden="false" customHeight="false" outlineLevel="0" collapsed="false">
      <c r="A128" s="37" t="s">
        <v>445</v>
      </c>
      <c r="B128" s="38" t="s">
        <v>446</v>
      </c>
      <c r="C128" s="39" t="s">
        <v>5</v>
      </c>
      <c r="D128" s="40" t="s">
        <v>31</v>
      </c>
      <c r="E128" s="40" t="s">
        <v>31</v>
      </c>
      <c r="F128" s="40" t="s">
        <v>447</v>
      </c>
      <c r="G128" s="51" t="n">
        <v>0</v>
      </c>
      <c r="H128" s="52" t="s">
        <v>448</v>
      </c>
    </row>
    <row r="129" customFormat="false" ht="15" hidden="false" customHeight="false" outlineLevel="0" collapsed="false">
      <c r="A129" s="30" t="s">
        <v>449</v>
      </c>
      <c r="B129" s="31" t="s">
        <v>450</v>
      </c>
      <c r="C129" s="39" t="s">
        <v>5</v>
      </c>
      <c r="D129" s="33" t="s">
        <v>64</v>
      </c>
      <c r="E129" s="33" t="s">
        <v>32</v>
      </c>
      <c r="F129" s="33" t="s">
        <v>451</v>
      </c>
      <c r="G129" s="35" t="n">
        <v>0</v>
      </c>
      <c r="H129" s="36" t="s">
        <v>452</v>
      </c>
    </row>
    <row r="130" customFormat="false" ht="15" hidden="false" customHeight="false" outlineLevel="0" collapsed="false">
      <c r="A130" s="37" t="s">
        <v>453</v>
      </c>
      <c r="B130" s="38" t="s">
        <v>454</v>
      </c>
      <c r="C130" s="39" t="s">
        <v>5</v>
      </c>
      <c r="D130" s="40" t="s">
        <v>18</v>
      </c>
      <c r="E130" s="53" t="s">
        <v>33</v>
      </c>
      <c r="F130" s="40" t="s">
        <v>455</v>
      </c>
      <c r="G130" s="51" t="n">
        <v>0</v>
      </c>
      <c r="H130" s="52" t="s">
        <v>456</v>
      </c>
    </row>
    <row r="131" customFormat="false" ht="15" hidden="false" customHeight="false" outlineLevel="0" collapsed="false">
      <c r="A131" s="30" t="s">
        <v>457</v>
      </c>
      <c r="B131" s="31" t="s">
        <v>458</v>
      </c>
      <c r="C131" s="39" t="s">
        <v>5</v>
      </c>
      <c r="D131" s="33" t="s">
        <v>31</v>
      </c>
      <c r="E131" s="33" t="s">
        <v>28</v>
      </c>
      <c r="F131" s="33" t="s">
        <v>447</v>
      </c>
      <c r="G131" s="35" t="n">
        <v>0</v>
      </c>
      <c r="H131" s="36" t="s">
        <v>448</v>
      </c>
    </row>
    <row r="132" customFormat="false" ht="23.85" hidden="false" customHeight="false" outlineLevel="0" collapsed="false">
      <c r="A132" s="37" t="s">
        <v>459</v>
      </c>
      <c r="B132" s="38" t="s">
        <v>460</v>
      </c>
      <c r="C132" s="39" t="s">
        <v>5</v>
      </c>
      <c r="D132" s="40" t="s">
        <v>30</v>
      </c>
      <c r="E132" s="53" t="s">
        <v>33</v>
      </c>
      <c r="F132" s="40" t="s">
        <v>129</v>
      </c>
      <c r="G132" s="51" t="n">
        <v>0</v>
      </c>
      <c r="H132" s="52" t="s">
        <v>130</v>
      </c>
    </row>
    <row r="133" customFormat="false" ht="15" hidden="false" customHeight="false" outlineLevel="0" collapsed="false">
      <c r="A133" s="30" t="s">
        <v>461</v>
      </c>
      <c r="B133" s="31" t="s">
        <v>462</v>
      </c>
      <c r="C133" s="39" t="s">
        <v>5</v>
      </c>
      <c r="D133" s="33" t="s">
        <v>30</v>
      </c>
      <c r="E133" s="49" t="s">
        <v>33</v>
      </c>
      <c r="F133" s="33" t="s">
        <v>129</v>
      </c>
      <c r="G133" s="35" t="n">
        <v>0</v>
      </c>
      <c r="H133" s="36" t="s">
        <v>463</v>
      </c>
    </row>
    <row r="134" customFormat="false" ht="15" hidden="false" customHeight="false" outlineLevel="0" collapsed="false">
      <c r="A134" s="43" t="s">
        <v>59</v>
      </c>
      <c r="B134" s="44"/>
      <c r="C134" s="44"/>
      <c r="D134" s="44"/>
      <c r="E134" s="44"/>
      <c r="F134" s="44"/>
      <c r="G134" s="45" t="n">
        <f aca="false">SUM(G5:G133)</f>
        <v>48</v>
      </c>
      <c r="H134" s="44"/>
    </row>
  </sheetData>
  <autoFilter ref="A4:H133"/>
  <mergeCells count="2">
    <mergeCell ref="A1:H1"/>
    <mergeCell ref="A2:H2"/>
  </mergeCells>
  <hyperlinks>
    <hyperlink ref="A5" r:id="rId1" display="MEG-18805"/>
    <hyperlink ref="A6" r:id="rId2" display="MEG-19584"/>
    <hyperlink ref="A7" r:id="rId3" display="MEG-19591"/>
    <hyperlink ref="A8" r:id="rId4" display="MEG-19723"/>
    <hyperlink ref="A9" r:id="rId5" display="MEG-19851"/>
    <hyperlink ref="A10" r:id="rId6" display="MEG-19852"/>
    <hyperlink ref="A11" r:id="rId7" display="MEG-19853"/>
    <hyperlink ref="A12" r:id="rId8" display="MEG-19938"/>
    <hyperlink ref="A13" r:id="rId9" display="MEG-20014"/>
    <hyperlink ref="A14" r:id="rId10" display="MEG-20019"/>
    <hyperlink ref="A15" r:id="rId11" display="MEG-20027"/>
    <hyperlink ref="A16" r:id="rId12" display="MEG-20107"/>
    <hyperlink ref="A17" r:id="rId13" display="MEG-20258"/>
    <hyperlink ref="A18" r:id="rId14" display="MEG-20651"/>
    <hyperlink ref="A19" r:id="rId15" display="STAR-1688"/>
    <hyperlink ref="A20" r:id="rId16" display="STAR-1692"/>
    <hyperlink ref="A21" r:id="rId17" display="STAR-1693"/>
    <hyperlink ref="A22" r:id="rId18" display="STAR-1694"/>
    <hyperlink ref="A23" r:id="rId19" display="STAR-1695"/>
    <hyperlink ref="A24" r:id="rId20" display="IP-1793"/>
    <hyperlink ref="A25" r:id="rId21" display="MEG-19721"/>
    <hyperlink ref="A26" r:id="rId22" display="MEG-19724"/>
    <hyperlink ref="A27" r:id="rId23" display="MEG-20025"/>
    <hyperlink ref="A28" r:id="rId24" display="MEG-20026"/>
    <hyperlink ref="A29" r:id="rId25" display="CR-1027"/>
    <hyperlink ref="A30" r:id="rId26" display="CR-1045"/>
    <hyperlink ref="A31" r:id="rId27" display="CR-1155"/>
    <hyperlink ref="A32" r:id="rId28" display="CR-1263"/>
    <hyperlink ref="A33" r:id="rId29" display="CR-1268"/>
    <hyperlink ref="A34" r:id="rId30" display="CR-1284"/>
    <hyperlink ref="A35" r:id="rId31" display="CR-1285"/>
    <hyperlink ref="A36" r:id="rId32" display="CR-1316"/>
    <hyperlink ref="A37" r:id="rId33" display="CR-1338"/>
    <hyperlink ref="A38" r:id="rId34" display="CR-1381"/>
    <hyperlink ref="A39" r:id="rId35" display="CR-1421"/>
    <hyperlink ref="A40" r:id="rId36" display="CR-859"/>
    <hyperlink ref="A41" r:id="rId37" display="IP-2525"/>
    <hyperlink ref="A42" r:id="rId38" display="IP-2879"/>
    <hyperlink ref="A43" r:id="rId39" display="IP-3022"/>
    <hyperlink ref="A44" r:id="rId40" display="IP-3170"/>
    <hyperlink ref="A45" r:id="rId41" display="IR-447"/>
    <hyperlink ref="A46" r:id="rId42" display="IR-450"/>
    <hyperlink ref="A47" r:id="rId43" display="IR-461"/>
    <hyperlink ref="A48" r:id="rId44" display="IR-481"/>
    <hyperlink ref="A49" r:id="rId45" display="IR-493"/>
    <hyperlink ref="A50" r:id="rId46" display="IR-494"/>
    <hyperlink ref="A51" r:id="rId47" display="IR-495"/>
    <hyperlink ref="A52" r:id="rId48" display="IR-496"/>
    <hyperlink ref="A53" r:id="rId49" display="IR-497"/>
    <hyperlink ref="A54" r:id="rId50" display="IR-812"/>
    <hyperlink ref="A55" r:id="rId51" display="MEG-18880"/>
    <hyperlink ref="A56" r:id="rId52" display="MEG-18920"/>
    <hyperlink ref="A57" r:id="rId53" display="MEG-18923"/>
    <hyperlink ref="A58" r:id="rId54" display="MEG-18924"/>
    <hyperlink ref="A59" r:id="rId55" display="MEG-18925"/>
    <hyperlink ref="A60" r:id="rId56" display="MEG-18926"/>
    <hyperlink ref="A61" r:id="rId57" display="MEG-18927"/>
    <hyperlink ref="A62" r:id="rId58" display="MEG-18928"/>
    <hyperlink ref="A63" r:id="rId59" display="MEG-18929"/>
    <hyperlink ref="A64" r:id="rId60" display="MEG-18931"/>
    <hyperlink ref="A65" r:id="rId61" display="MEG-18932"/>
    <hyperlink ref="A66" r:id="rId62" display="MEG-18933"/>
    <hyperlink ref="A67" r:id="rId63" display="MEG-18934"/>
    <hyperlink ref="A68" r:id="rId64" display="MEG-18937"/>
    <hyperlink ref="A69" r:id="rId65" display="MEG-18938"/>
    <hyperlink ref="A70" r:id="rId66" display="MEG-18939"/>
    <hyperlink ref="A71" r:id="rId67" display="MEG-18941"/>
    <hyperlink ref="A72" r:id="rId68" display="MEG-18942"/>
    <hyperlink ref="A73" r:id="rId69" display="MEG-18943"/>
    <hyperlink ref="A74" r:id="rId70" display="MEG-18945"/>
    <hyperlink ref="A75" r:id="rId71" display="MEG-18947"/>
    <hyperlink ref="A76" r:id="rId72" display="MEG-18948"/>
    <hyperlink ref="A77" r:id="rId73" display="MEG-18955"/>
    <hyperlink ref="A78" r:id="rId74" display="MEG-18956"/>
    <hyperlink ref="A79" r:id="rId75" display="MEG-19147"/>
    <hyperlink ref="A80" r:id="rId76" display="MEG-19158"/>
    <hyperlink ref="A81" r:id="rId77" display="MEG-19192"/>
    <hyperlink ref="A82" r:id="rId78" display="MEG-19200"/>
    <hyperlink ref="A83" r:id="rId79" display="MEG-19224"/>
    <hyperlink ref="A84" r:id="rId80" display="MEG-19225"/>
    <hyperlink ref="A85" r:id="rId81" display="MEG-19226"/>
    <hyperlink ref="A86" r:id="rId82" display="MEG-19263"/>
    <hyperlink ref="A87" r:id="rId83" display="MEG-19299"/>
    <hyperlink ref="A88" r:id="rId84" display="MEG-19365"/>
    <hyperlink ref="A89" r:id="rId85" display="MEG-19374"/>
    <hyperlink ref="A90" r:id="rId86" display="MEG-19418"/>
    <hyperlink ref="A91" r:id="rId87" display="MEG-19440"/>
    <hyperlink ref="A92" r:id="rId88" display="MEG-19585"/>
    <hyperlink ref="A93" r:id="rId89" display="MEG-19598"/>
    <hyperlink ref="A94" r:id="rId90" display="MEG-19699"/>
    <hyperlink ref="A95" r:id="rId91" display="MEG-19718"/>
    <hyperlink ref="A96" r:id="rId92" display="MEG-19856"/>
    <hyperlink ref="A97" r:id="rId93" display="MEG-19857"/>
    <hyperlink ref="A98" r:id="rId94" display="MEG-19944"/>
    <hyperlink ref="A99" r:id="rId95" display="MEG-19964"/>
    <hyperlink ref="A100" r:id="rId96" display="MEG-19970"/>
    <hyperlink ref="A101" r:id="rId97" display="MEG-20087"/>
    <hyperlink ref="A102" r:id="rId98" display="MEG-20143"/>
    <hyperlink ref="A103" r:id="rId99" display="MEG-20230"/>
    <hyperlink ref="A104" r:id="rId100" display="MEG-20231"/>
    <hyperlink ref="A105" r:id="rId101" display="MEG-20232"/>
    <hyperlink ref="A106" r:id="rId102" display="MEG-20233"/>
    <hyperlink ref="A107" r:id="rId103" display="MEG-20234"/>
    <hyperlink ref="A108" r:id="rId104" display="MEG-20235"/>
    <hyperlink ref="A109" r:id="rId105" display="MEG-20236"/>
    <hyperlink ref="A110" r:id="rId106" display="MEG-20237"/>
    <hyperlink ref="A111" r:id="rId107" display="MEG-20238"/>
    <hyperlink ref="A112" r:id="rId108" display="MEG-20239"/>
    <hyperlink ref="A113" r:id="rId109" display="MEG-20240"/>
    <hyperlink ref="A114" r:id="rId110" display="MEG-20294"/>
    <hyperlink ref="A115" r:id="rId111" display="MEG-20318"/>
    <hyperlink ref="A116" r:id="rId112" display="MEG-20724"/>
    <hyperlink ref="A117" r:id="rId113" display="MEG-20726"/>
    <hyperlink ref="A118" r:id="rId114" display="MEG-20812"/>
    <hyperlink ref="A119" r:id="rId115" display="MEG-20813"/>
    <hyperlink ref="A120" r:id="rId116" display="MEG-20945"/>
    <hyperlink ref="A121" r:id="rId117" display="MEG-21328"/>
    <hyperlink ref="A122" r:id="rId118" display="MEG-21782"/>
    <hyperlink ref="A123" r:id="rId119" display="MEG-21937"/>
    <hyperlink ref="A124" r:id="rId120" display="MEG-21938"/>
    <hyperlink ref="A125" r:id="rId121" display="MEG-21939"/>
    <hyperlink ref="A126" r:id="rId122" display="MEG-21979"/>
    <hyperlink ref="A127" r:id="rId123" display="MEG-22118"/>
    <hyperlink ref="A128" r:id="rId124" display="MEG-22141"/>
    <hyperlink ref="A129" r:id="rId125" display="MEG-22234"/>
    <hyperlink ref="A130" r:id="rId126" display="MEG-22495"/>
    <hyperlink ref="A131" r:id="rId127" display="MEG-22540"/>
    <hyperlink ref="A132" r:id="rId128" display="STAR-1689"/>
    <hyperlink ref="A133" r:id="rId129" display="STAR-169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48"/>
  </cols>
  <sheetData>
    <row r="1" customFormat="false" ht="30" hidden="false" customHeight="true" outlineLevel="0" collapsed="false">
      <c r="A1" s="54" t="s">
        <v>464</v>
      </c>
      <c r="B1" s="54"/>
      <c r="C1" s="54"/>
      <c r="D1" s="54"/>
      <c r="E1" s="54"/>
      <c r="F1" s="54"/>
      <c r="G1" s="54"/>
      <c r="H1" s="54"/>
    </row>
    <row r="2" customFormat="false" ht="18" hidden="false" customHeight="true" outlineLevel="0" collapsed="false">
      <c r="A2" s="55" t="s">
        <v>465</v>
      </c>
      <c r="B2" s="55"/>
      <c r="C2" s="55"/>
      <c r="D2" s="55"/>
      <c r="E2" s="55"/>
      <c r="F2" s="55"/>
      <c r="G2" s="55"/>
      <c r="H2" s="55"/>
    </row>
    <row r="4" customFormat="false" ht="21.75" hidden="false" customHeight="true" outlineLevel="0" collapsed="false">
      <c r="A4" s="28" t="s">
        <v>45</v>
      </c>
      <c r="B4" s="29" t="s">
        <v>46</v>
      </c>
      <c r="C4" s="29" t="s">
        <v>8</v>
      </c>
      <c r="D4" s="29" t="s">
        <v>47</v>
      </c>
      <c r="E4" s="29" t="s">
        <v>11</v>
      </c>
      <c r="F4" s="29" t="s">
        <v>48</v>
      </c>
      <c r="G4" s="29" t="s">
        <v>49</v>
      </c>
      <c r="H4" s="29" t="s">
        <v>50</v>
      </c>
    </row>
    <row r="5" customFormat="false" ht="23.85" hidden="false" customHeight="false" outlineLevel="0" collapsed="false">
      <c r="A5" s="30" t="s">
        <v>466</v>
      </c>
      <c r="B5" s="31" t="s">
        <v>467</v>
      </c>
      <c r="C5" s="48" t="s">
        <v>3</v>
      </c>
      <c r="D5" s="33" t="s">
        <v>468</v>
      </c>
      <c r="E5" s="33" t="s">
        <v>468</v>
      </c>
      <c r="F5" s="33" t="s">
        <v>53</v>
      </c>
      <c r="G5" s="35" t="n">
        <v>0</v>
      </c>
      <c r="H5" s="36" t="s">
        <v>469</v>
      </c>
    </row>
    <row r="6" customFormat="false" ht="23.85" hidden="false" customHeight="false" outlineLevel="0" collapsed="false">
      <c r="A6" s="37" t="s">
        <v>470</v>
      </c>
      <c r="B6" s="38" t="s">
        <v>471</v>
      </c>
      <c r="C6" s="48" t="s">
        <v>3</v>
      </c>
      <c r="D6" s="40" t="s">
        <v>468</v>
      </c>
      <c r="E6" s="40" t="s">
        <v>468</v>
      </c>
      <c r="F6" s="40" t="s">
        <v>53</v>
      </c>
      <c r="G6" s="51" t="n">
        <v>0</v>
      </c>
      <c r="H6" s="52" t="s">
        <v>472</v>
      </c>
    </row>
    <row r="7" customFormat="false" ht="23.85" hidden="false" customHeight="false" outlineLevel="0" collapsed="false">
      <c r="A7" s="30" t="s">
        <v>473</v>
      </c>
      <c r="B7" s="31" t="s">
        <v>474</v>
      </c>
      <c r="C7" s="48" t="s">
        <v>3</v>
      </c>
      <c r="D7" s="33" t="s">
        <v>468</v>
      </c>
      <c r="E7" s="33" t="s">
        <v>468</v>
      </c>
      <c r="F7" s="33" t="s">
        <v>53</v>
      </c>
      <c r="G7" s="35" t="n">
        <v>0</v>
      </c>
      <c r="H7" s="36" t="s">
        <v>475</v>
      </c>
    </row>
    <row r="8" customFormat="false" ht="23.85" hidden="false" customHeight="false" outlineLevel="0" collapsed="false">
      <c r="A8" s="37" t="s">
        <v>476</v>
      </c>
      <c r="B8" s="38" t="s">
        <v>477</v>
      </c>
      <c r="C8" s="39" t="s">
        <v>5</v>
      </c>
      <c r="D8" s="40" t="s">
        <v>57</v>
      </c>
      <c r="E8" s="53" t="s">
        <v>33</v>
      </c>
      <c r="F8" s="40" t="s">
        <v>478</v>
      </c>
      <c r="G8" s="51" t="n">
        <v>0</v>
      </c>
      <c r="H8" s="52" t="s">
        <v>479</v>
      </c>
    </row>
    <row r="9" customFormat="false" ht="15" hidden="false" customHeight="false" outlineLevel="0" collapsed="false">
      <c r="A9" s="43" t="s">
        <v>59</v>
      </c>
      <c r="B9" s="44"/>
      <c r="C9" s="44"/>
      <c r="D9" s="44"/>
      <c r="E9" s="44"/>
      <c r="F9" s="44"/>
      <c r="G9" s="45" t="n">
        <f aca="false">SUM(G5:G8)</f>
        <v>0</v>
      </c>
      <c r="H9" s="44"/>
    </row>
  </sheetData>
  <autoFilter ref="A4:H8"/>
  <mergeCells count="2">
    <mergeCell ref="A1:H1"/>
    <mergeCell ref="A2:H2"/>
  </mergeCells>
  <hyperlinks>
    <hyperlink ref="A5" r:id="rId1" display="CBT-137"/>
    <hyperlink ref="A6" r:id="rId2" display="CBT-85"/>
    <hyperlink ref="A7" r:id="rId3" display="CBT-97"/>
    <hyperlink ref="A8" r:id="rId4" display="IR-9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2026-10-14T20:50:39Z</dcterms:created>
  <dc:creator>openpyxl</dc:creator>
  <dc:description/>
  <dc:language>en-US</dc:language>
  <cp:lastModifiedBy/>
  <dcterms:modified xsi:type="dcterms:W3CDTF">2026-10-14T20:50:43Z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